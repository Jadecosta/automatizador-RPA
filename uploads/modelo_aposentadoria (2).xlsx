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S_DFPG\Downloads\"/>
    </mc:Choice>
  </mc:AlternateContent>
  <xr:revisionPtr revIDLastSave="0" documentId="13_ncr:1_{725B0B5F-6F7D-4277-A865-83C5D5E3641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lanilha4" sheetId="6" r:id="rId1"/>
    <sheet name="Aposentadoria" sheetId="1" r:id="rId2"/>
    <sheet name="Planilha3" sheetId="5" r:id="rId3"/>
    <sheet name="Planilha1" sheetId="3" r:id="rId4"/>
    <sheet name="Planilha2" sheetId="4" r:id="rId5"/>
    <sheet name="incluir_rub" sheetId="2" r:id="rId6"/>
  </sheets>
  <definedNames>
    <definedName name="_xlnm._FilterDatabase" localSheetId="1" hidden="1">Aposentadoria!$A$1:$AC$35</definedName>
    <definedName name="_xlnm._FilterDatabase" localSheetId="3" hidden="1">Planilha1!$A$1:$I$69</definedName>
    <definedName name="_xlnm._FilterDatabase" localSheetId="0" hidden="1">Planilha4!$A$1:$AC$3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6" l="1"/>
  <c r="AC2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2" i="3"/>
  <c r="AC3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2" i="1"/>
</calcChain>
</file>

<file path=xl/sharedStrings.xml><?xml version="1.0" encoding="utf-8"?>
<sst xmlns="http://schemas.openxmlformats.org/spreadsheetml/2006/main" count="1755" uniqueCount="277">
  <si>
    <t>ORGAO</t>
  </si>
  <si>
    <t>PLANO</t>
  </si>
  <si>
    <t>PLANO DO SERVIDOR POLICIAL MILITAR</t>
  </si>
  <si>
    <t>Polícia Militar do Estado do Piauí</t>
  </si>
  <si>
    <t>OBSERVAÇÃO</t>
  </si>
  <si>
    <t>016078-4</t>
  </si>
  <si>
    <t>NOME</t>
  </si>
  <si>
    <t>EMPRESA</t>
  </si>
  <si>
    <t>PROVENTOS</t>
  </si>
  <si>
    <t>S</t>
  </si>
  <si>
    <t>INFORMAÇÃO</t>
  </si>
  <si>
    <t>Aposentado - Militar</t>
  </si>
  <si>
    <t>Reserva</t>
  </si>
  <si>
    <t>Militares</t>
  </si>
  <si>
    <t>Integralidade</t>
  </si>
  <si>
    <t>Reajuste Anual</t>
  </si>
  <si>
    <t>Integral</t>
  </si>
  <si>
    <t>Remuneração</t>
  </si>
  <si>
    <t>Indicador</t>
  </si>
  <si>
    <t>N</t>
  </si>
  <si>
    <t>E-Social</t>
  </si>
  <si>
    <t>07/2024-300</t>
  </si>
  <si>
    <t>Rubricas Permanentes</t>
  </si>
  <si>
    <t>Valor</t>
  </si>
  <si>
    <t>PROPORCIONAL</t>
  </si>
  <si>
    <t>Reforma</t>
  </si>
  <si>
    <t xml:space="preserve">Proporcional </t>
  </si>
  <si>
    <t>084366-X</t>
  </si>
  <si>
    <t>0502 - Reserva remunerada integral</t>
  </si>
  <si>
    <t>0501 - Reserva remunerada compulsória</t>
  </si>
  <si>
    <t>Reserva remunerada a pedido</t>
  </si>
  <si>
    <t>Reserva remunerada ex officio</t>
  </si>
  <si>
    <t>084992-8</t>
  </si>
  <si>
    <t>080736-2</t>
  </si>
  <si>
    <t>CORONEL</t>
  </si>
  <si>
    <t>5 - 1 - CORONEL - I - A</t>
  </si>
  <si>
    <t>Polícia Militar do Estado do Piauí – CORONEL</t>
  </si>
  <si>
    <t>082782-7</t>
  </si>
  <si>
    <t>CABO</t>
  </si>
  <si>
    <t>5 - 1 - CABO - I - A</t>
  </si>
  <si>
    <t>Polícia Militar do Estado do Piauí – CABO</t>
  </si>
  <si>
    <t>046785-5</t>
  </si>
  <si>
    <t>0401 - Reforma por invalidez</t>
  </si>
  <si>
    <t>015118-1</t>
  </si>
  <si>
    <t>179483-3</t>
  </si>
  <si>
    <t>015964-6</t>
  </si>
  <si>
    <t>5 - 1 - 3º SARGENTO - I - A</t>
  </si>
  <si>
    <t>3º SARGENTO</t>
  </si>
  <si>
    <t>Polícia Militar do Estado do Piauí – 3º SARGENTO</t>
  </si>
  <si>
    <t>015458-0</t>
  </si>
  <si>
    <t>2º SARGENTO</t>
  </si>
  <si>
    <t>5 - 1 - 2º SARGENTO - I - A</t>
  </si>
  <si>
    <t>Polícia Militar do Estado do Piauí – 2º SARGENTO</t>
  </si>
  <si>
    <t>084848-4</t>
  </si>
  <si>
    <t>CATEGORIA FUNCIONAL</t>
  </si>
  <si>
    <t>REFERENCIA</t>
  </si>
  <si>
    <t>MIGRAR</t>
  </si>
  <si>
    <t>DIVISÃO</t>
  </si>
  <si>
    <t>SITUAÇÃO</t>
  </si>
  <si>
    <t>CATEGORIA</t>
  </si>
  <si>
    <t>TIPO DE CALCULO</t>
  </si>
  <si>
    <t>FORMA DE REVISÃO</t>
  </si>
  <si>
    <t>TIPO</t>
  </si>
  <si>
    <t>CALCULO</t>
  </si>
  <si>
    <t>pmpi</t>
  </si>
  <si>
    <t>015360-5</t>
  </si>
  <si>
    <t>014208-5</t>
  </si>
  <si>
    <t>014916-X</t>
  </si>
  <si>
    <t>015925-5</t>
  </si>
  <si>
    <t>079258-6</t>
  </si>
  <si>
    <t>244398-8</t>
  </si>
  <si>
    <t>014946-2</t>
  </si>
  <si>
    <t>22</t>
  </si>
  <si>
    <t>121002</t>
  </si>
  <si>
    <t>4963,52</t>
  </si>
  <si>
    <t>121240</t>
  </si>
  <si>
    <t>77,51</t>
  </si>
  <si>
    <t>3066,33</t>
  </si>
  <si>
    <t>47,74</t>
  </si>
  <si>
    <t>11838,9</t>
  </si>
  <si>
    <t>144,16</t>
  </si>
  <si>
    <t>18383,39</t>
  </si>
  <si>
    <t>325,27</t>
  </si>
  <si>
    <t>9743,19</t>
  </si>
  <si>
    <t>3882,94</t>
  </si>
  <si>
    <t>3835,2</t>
  </si>
  <si>
    <t>1521,1</t>
  </si>
  <si>
    <t>3952,43</t>
  </si>
  <si>
    <t>4228,18</t>
  </si>
  <si>
    <t>120,66</t>
  </si>
  <si>
    <t>1550,06</t>
  </si>
  <si>
    <t>MATRICULA</t>
  </si>
  <si>
    <t>DATA REQUERIMENTO E APOSENTADORIA</t>
  </si>
  <si>
    <t>INTEGRAL</t>
  </si>
  <si>
    <t>MODALIDADE APOSENTADORIA</t>
  </si>
  <si>
    <t>Tipo de Benefício</t>
  </si>
  <si>
    <t>RUBRICA</t>
  </si>
  <si>
    <t>VALOR</t>
  </si>
  <si>
    <t>FOLHA</t>
  </si>
  <si>
    <t>funprev</t>
  </si>
  <si>
    <t>082875-X</t>
  </si>
  <si>
    <t>WILSON FERREIRA MAXIMO</t>
  </si>
  <si>
    <t>00227.000006/2025-99</t>
  </si>
  <si>
    <t>01/2025-300</t>
  </si>
  <si>
    <t>4163,88</t>
  </si>
  <si>
    <t>GERSON LIMA DAMIAO</t>
  </si>
  <si>
    <t>080052-0</t>
  </si>
  <si>
    <t>4040,38</t>
  </si>
  <si>
    <t>EDISON DE DEUS CARVALHO</t>
  </si>
  <si>
    <t>015441-5</t>
  </si>
  <si>
    <t>Reforma por invalidez a pedido</t>
  </si>
  <si>
    <t>084343-1</t>
  </si>
  <si>
    <t>ARESTIDES RIBEIRO SOARES NETO</t>
  </si>
  <si>
    <t xml:space="preserve">Reforma por invalidez </t>
  </si>
  <si>
    <t>3442,63</t>
  </si>
  <si>
    <t>VALMIR PEREIRA DE OLIVEIRA</t>
  </si>
  <si>
    <t>015970-X</t>
  </si>
  <si>
    <t>KLEBER SOARES CORREIA LIMA</t>
  </si>
  <si>
    <t>014438-0</t>
  </si>
  <si>
    <t>19366,90</t>
  </si>
  <si>
    <t>330,40</t>
  </si>
  <si>
    <t>FRANCISCO DE ASSIS ALMEIDA CARVALHO</t>
  </si>
  <si>
    <t>015394-0</t>
  </si>
  <si>
    <t>4454,39</t>
  </si>
  <si>
    <t>FRANCISCO JONILSON DA SILVA MORAIS</t>
  </si>
  <si>
    <t>082851-3</t>
  </si>
  <si>
    <t>CARLOS ALBERTO SOARES LIMA</t>
  </si>
  <si>
    <t>082916-1</t>
  </si>
  <si>
    <t>PEDRO ALVES DOS SANTOS FILHO</t>
  </si>
  <si>
    <t>085623-1</t>
  </si>
  <si>
    <t>GERSON PEREIRA SILVA</t>
  </si>
  <si>
    <t>082466-6</t>
  </si>
  <si>
    <t>084217-6</t>
  </si>
  <si>
    <t xml:space="preserve">JOSE DE RIBAMAR FERREIRA </t>
  </si>
  <si>
    <t>VALDY DE MOURA FE</t>
  </si>
  <si>
    <t>082662-6</t>
  </si>
  <si>
    <t>MARCIO FERNANDES DE SOUSA COSTA</t>
  </si>
  <si>
    <t>085482-4</t>
  </si>
  <si>
    <t xml:space="preserve">JOSE MARIA BARROS DA SILVA </t>
  </si>
  <si>
    <t>079967-0</t>
  </si>
  <si>
    <t>CARLOS EDUARDO BARBOSA DOS SANTOS</t>
  </si>
  <si>
    <t>085841-2</t>
  </si>
  <si>
    <t>085321-6</t>
  </si>
  <si>
    <t xml:space="preserve">FRANCISCO GOMES DA SILVA </t>
  </si>
  <si>
    <t>FABIANO DE JESUS FARIAS</t>
  </si>
  <si>
    <t>084880-8</t>
  </si>
  <si>
    <t>ELISMAR NASCIMENTO DOS SANTOS</t>
  </si>
  <si>
    <t>084351-2</t>
  </si>
  <si>
    <t>ATENILDO PEREIRA DE ARAUJO</t>
  </si>
  <si>
    <t>085696-7</t>
  </si>
  <si>
    <t>FRANCISCO MARQUES DA SILVA</t>
  </si>
  <si>
    <t>084377-6</t>
  </si>
  <si>
    <t>JOSIAS JOSE GONCALVES</t>
  </si>
  <si>
    <t>086836-1</t>
  </si>
  <si>
    <t>JOSE AIRTON CALISTA RODRIGUES</t>
  </si>
  <si>
    <t>084234-6</t>
  </si>
  <si>
    <t>OLIVEIRA DE SOUSA NUNES NETO</t>
  </si>
  <si>
    <t>082633-2</t>
  </si>
  <si>
    <t>FRANCISCO SOUSA DO NASCIMENTO</t>
  </si>
  <si>
    <t>085455-7</t>
  </si>
  <si>
    <t>ROGERIO SIDNEY SILVA</t>
  </si>
  <si>
    <t>083490-4</t>
  </si>
  <si>
    <t>FRANCISCO DE ASSIS MARQUES</t>
  </si>
  <si>
    <t>015838-X</t>
  </si>
  <si>
    <t>ANTONIO CARLOS NASCIMENTO DE SOUSA</t>
  </si>
  <si>
    <t>083487-4</t>
  </si>
  <si>
    <t>084316-4</t>
  </si>
  <si>
    <t xml:space="preserve">IVAN DOS SANTOS PORTO </t>
  </si>
  <si>
    <t>FRANCISCO PIRES DA SILVA</t>
  </si>
  <si>
    <t>085468-9</t>
  </si>
  <si>
    <t>ANTONIO DILSON DA SILVA</t>
  </si>
  <si>
    <t>085539-1</t>
  </si>
  <si>
    <t>EDGAR PEREIRA DE JESUS</t>
  </si>
  <si>
    <t>084872-7</t>
  </si>
  <si>
    <t>CARLOS ALBERTO DUARTE</t>
  </si>
  <si>
    <t>085861-7</t>
  </si>
  <si>
    <t>MILTON JUNIOR JOVINO DE SOUSA</t>
  </si>
  <si>
    <t>084293-1</t>
  </si>
  <si>
    <t>16/12/2024</t>
  </si>
  <si>
    <t>mat</t>
  </si>
  <si>
    <t>rub</t>
  </si>
  <si>
    <t>val</t>
  </si>
  <si>
    <t>par</t>
  </si>
  <si>
    <t>quant</t>
  </si>
  <si>
    <t>mês</t>
  </si>
  <si>
    <t>ano</t>
  </si>
  <si>
    <t>obs</t>
  </si>
  <si>
    <t>4163.88</t>
  </si>
  <si>
    <t>4040.38</t>
  </si>
  <si>
    <t>3442.63</t>
  </si>
  <si>
    <t>19366.9</t>
  </si>
  <si>
    <t>4454.39</t>
  </si>
  <si>
    <t>47.74</t>
  </si>
  <si>
    <t>330.4</t>
  </si>
  <si>
    <t>V</t>
  </si>
  <si>
    <t>Linha: 3 - Não inserida 'O funcionário de matrícula '154415' não foi encontrado.'.</t>
  </si>
  <si>
    <t>Linha: 4 - Não inserida 'O funcionário de matrícula '843431' não foi encontrado.'.</t>
  </si>
  <si>
    <t>Linha: 6 - Não inserida 'O funcionário de matrícula '144380' não foi encontrado.'.</t>
  </si>
  <si>
    <t>Linha: 8 - Não inserida 'O funcionário de matrícula '828513' não foi encontrado.'.</t>
  </si>
  <si>
    <t>Linha: 10 - Não inserida 'O funcionário de matrícula '856231' não foi encontrado.'.</t>
  </si>
  <si>
    <t>Linha: 13 - Não inserida 'O funcionário de matrícula '826626' não foi encontrado.'.</t>
  </si>
  <si>
    <t>Linha: 14 - Não inserida 'O funcionário de matrícula '854824' não foi encontrado.'.</t>
  </si>
  <si>
    <t>Linha: 15 - Não inserida 'O funcionário de matrícula '799670' não foi encontrado.'.</t>
  </si>
  <si>
    <t>Linha: 16 - Não inserida 'O funcionário de matrícula '858412' não foi encontrado.'.</t>
  </si>
  <si>
    <t>Linha: 17 - Não inserida 'O funcionário de matrícula '853216' não foi encontrado.'.</t>
  </si>
  <si>
    <t>Linha: 18 - Não inserida 'O funcionário de matrícula '848808' não foi encontrado.'.</t>
  </si>
  <si>
    <t>Linha: 20 - Não inserida 'O funcionário de matrícula '856967' não foi encontrado.'.</t>
  </si>
  <si>
    <t>Linha: 21 - Não inserida 'O funcionário de matrícula '843776' não foi encontrado.'.</t>
  </si>
  <si>
    <t>Linha: 24 - Não inserida 'O funcionário de matrícula '826332' não foi encontrado.'.</t>
  </si>
  <si>
    <t>Linha: 25 - Não inserida 'O funcionário de matrícula '854557' não foi encontrado.'.</t>
  </si>
  <si>
    <t>Linha: 26 - Não inserida 'O funcionário de matrícula '834904' não foi encontrado.'.</t>
  </si>
  <si>
    <t>Linha: 27 - Não inserida 'O funcionário de matrícula '015838X' não foi encontrado.'.</t>
  </si>
  <si>
    <t>Linha: 28 - Não inserida 'O funcionário de matrícula '834874' não foi encontrado.'.</t>
  </si>
  <si>
    <t>Linha: 29 - Não inserida 'O funcionário de matrícula '843164' não foi encontrado.'.</t>
  </si>
  <si>
    <t>Linha: 30 - Não inserida 'O funcionário de matrícula '854689' não foi encontrado.'.</t>
  </si>
  <si>
    <t>Linha: 31 - Não inserida 'O funcionário de matrícula '855391' não foi encontrado.'.</t>
  </si>
  <si>
    <t>Linha: 32 - Não inserida 'O funcionário de matrícula '848727' não foi encontrado.'.</t>
  </si>
  <si>
    <t>Linha: 33 - Não inserida 'O funcionário de matrícula '858617' não foi encontrado.'.</t>
  </si>
  <si>
    <t>Linha: 37 - Não inserida 'O funcionário de matrícula '154415' não foi encontrado.'.</t>
  </si>
  <si>
    <t>Linha: 38 - Não inserida 'O funcionário de matrícula '843431' não foi encontrado.'.</t>
  </si>
  <si>
    <t>Linha: 40 - Não inserida 'O funcionário de matrícula '144380' não foi encontrado.'.</t>
  </si>
  <si>
    <t>Linha: 42 - Não inserida 'O funcionário de matrícula '828513' não foi encontrado.'.</t>
  </si>
  <si>
    <t>Linha: 44 - Não inserida 'O funcionário de matrícula '856231' não foi encontrado.'.</t>
  </si>
  <si>
    <t>Linha: 47 - Não inserida 'O funcionário de matrícula '826626' não foi encontrado.'.</t>
  </si>
  <si>
    <t>Linha: 48 - Não inserida 'O funcionário de matrícula '854824' não foi encontrado.'.</t>
  </si>
  <si>
    <t>Linha: 49 - Não inserida 'O funcionário de matrícula '799670' não foi encontrado.'.</t>
  </si>
  <si>
    <t>Linha: 50 - Não inserida 'O funcionário de matrícula '858412' não foi encontrado.'.</t>
  </si>
  <si>
    <t>Linha: 51 - Não inserida 'O funcionário de matrícula '853216' não foi encontrado.'.</t>
  </si>
  <si>
    <t>Linha: 52 - Não inserida 'O funcionário de matrícula '848808' não foi encontrado.'.</t>
  </si>
  <si>
    <t>Linha: 54 - Não inserida 'O funcionário de matrícula '856967' não foi encontrado.'.</t>
  </si>
  <si>
    <t>Linha: 55 - Não inserida 'O funcionário de matrícula '843776' não foi encontrado.'.</t>
  </si>
  <si>
    <t>Linha: 58 - Não inserida 'O funcionário de matrícula '826332' não foi encontrado.'.</t>
  </si>
  <si>
    <t>Linha: 59 - Não inserida 'O funcionário de matrícula '854557' não foi encontrado.'.</t>
  </si>
  <si>
    <t>Linha: 60 - Não inserida 'O funcionário de matrícula '834904' não foi encontrado.'.</t>
  </si>
  <si>
    <t>Linha: 61 - Não inserida 'O funcionário de matrícula '015838X' não foi encontrado.'.</t>
  </si>
  <si>
    <t>Linha: 62 - Não inserida 'O funcionário de matrícula '834874' não foi encontrado.'.</t>
  </si>
  <si>
    <t>Linha: 63 - Não inserida 'O funcionário de matrícula '843164' não foi encontrado.'.</t>
  </si>
  <si>
    <t>Linha: 64 - Não inserida 'O funcionário de matrícula '854689' não foi encontrado.'.</t>
  </si>
  <si>
    <t>Linha: 65 - Não inserida 'O funcionário de matrícula '855391' não foi encontrado.'.</t>
  </si>
  <si>
    <t>Linha: 66 - Não inserida 'O funcionário de matrícula '848727' não foi encontrado.'.</t>
  </si>
  <si>
    <t>Linha: 67 - Não inserida 'O funcionário de matrícula '858617' não foi encontrado.'.</t>
  </si>
  <si>
    <t>154415'</t>
  </si>
  <si>
    <t>144380'</t>
  </si>
  <si>
    <t>828513'</t>
  </si>
  <si>
    <t>856231'</t>
  </si>
  <si>
    <t>826626'</t>
  </si>
  <si>
    <t>854824'</t>
  </si>
  <si>
    <t>799670'</t>
  </si>
  <si>
    <t>858412'</t>
  </si>
  <si>
    <t>853216'</t>
  </si>
  <si>
    <t>848808'</t>
  </si>
  <si>
    <t>856967'</t>
  </si>
  <si>
    <t>843776'</t>
  </si>
  <si>
    <t>826332'</t>
  </si>
  <si>
    <t>854557'</t>
  </si>
  <si>
    <t>834904'</t>
  </si>
  <si>
    <t>015838X'</t>
  </si>
  <si>
    <t>834874'</t>
  </si>
  <si>
    <t>843164'</t>
  </si>
  <si>
    <t>854689'</t>
  </si>
  <si>
    <t>855391'</t>
  </si>
  <si>
    <t>848727'</t>
  </si>
  <si>
    <t>858617'</t>
  </si>
  <si>
    <t>843431'</t>
  </si>
  <si>
    <t>não inserido em fofolha</t>
  </si>
  <si>
    <t>SIGLA_ORGO</t>
  </si>
  <si>
    <t>cbmpi</t>
  </si>
  <si>
    <t>Linha: 1 - Não inserida 'O funcionário de matrícula '144380' não foi encontrado.'.</t>
  </si>
  <si>
    <t>Linha: 2 - Não inserida 'O funcionário de matrícula '828513' não foi encontrado.'.</t>
  </si>
  <si>
    <t>Linha: 6 - Não inserida 'O funcionário de matrícula '799670' não foi encontrado.'.</t>
  </si>
  <si>
    <t>Linha: 11 - Não inserida 'O funcionário de matrícula '843776' não foi encontrado.'.</t>
  </si>
  <si>
    <t>Linha: 19 - Não inserida 'O funcionário de matrícula '855391' não foi encontrado.'.</t>
  </si>
  <si>
    <t>Linha: 22 - Não inserida 'O funcionário de matrícula '144380' não foi encontrado.'.</t>
  </si>
  <si>
    <t>Linha: 23 - Não inserida 'O funcionário de matrícula '828513' não foi encontrado.'.</t>
  </si>
  <si>
    <t>Linha: 27 - Não inserida 'O funcionário de matrícula '799670' não foi encontrado.'.</t>
  </si>
  <si>
    <t>Linha: 32 - Não inserida 'O funcionário de matrícula '843776' não foi encontrado.'.</t>
  </si>
  <si>
    <t>Linha: 40 - Não inserida 'O funcionário de matrícula '855391' não foi encontrado.'.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</si>
</sst>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4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4" borderId="1" xfId="0" applyNumberFormat="1" applyFill="1" applyBorder="1"/>
    <xf numFmtId="49" fontId="0" fillId="0" borderId="1" xfId="0" applyNumberFormat="1" applyBorder="1"/>
    <xf numFmtId="49" fontId="0" fillId="4" borderId="1" xfId="0" applyNumberFormat="1" applyFill="1" applyBorder="1" applyAlignment="1">
      <alignment horizontal="left"/>
    </xf>
    <xf numFmtId="49" fontId="2" fillId="0" borderId="1" xfId="2" applyNumberFormat="1" applyBorder="1" applyAlignment="1">
      <alignment horizontal="center"/>
    </xf>
    <xf numFmtId="49" fontId="0" fillId="4" borderId="1" xfId="1" applyNumberFormat="1" applyFont="1" applyFill="1" applyBorder="1"/>
    <xf numFmtId="49" fontId="0" fillId="4" borderId="1" xfId="1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/>
    <xf numFmtId="49" fontId="4" fillId="0" borderId="1" xfId="0" applyNumberFormat="1" applyFont="1" applyBorder="1"/>
    <xf numFmtId="49" fontId="4" fillId="4" borderId="1" xfId="0" applyNumberFormat="1" applyFont="1" applyFill="1" applyBorder="1" applyAlignment="1">
      <alignment horizontal="left"/>
    </xf>
    <xf numFmtId="49" fontId="5" fillId="0" borderId="1" xfId="2" applyNumberFormat="1" applyFont="1" applyBorder="1" applyAlignment="1">
      <alignment horizontal="center"/>
    </xf>
    <xf numFmtId="49" fontId="4" fillId="4" borderId="1" xfId="1" applyNumberFormat="1" applyFont="1" applyFill="1" applyBorder="1"/>
    <xf numFmtId="49" fontId="4" fillId="4" borderId="1" xfId="1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6" fillId="4" borderId="1" xfId="0" applyNumberFormat="1" applyFont="1" applyFill="1" applyBorder="1"/>
    <xf numFmtId="49" fontId="0" fillId="2" borderId="2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/>
    <xf numFmtId="49" fontId="6" fillId="0" borderId="0" xfId="0" applyNumberFormat="1" applyFont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49" fontId="7" fillId="0" borderId="1" xfId="2" applyNumberFormat="1" applyFont="1" applyBorder="1" applyAlignment="1">
      <alignment horizontal="center"/>
    </xf>
    <xf numFmtId="49" fontId="6" fillId="4" borderId="1" xfId="1" applyNumberFormat="1" applyFont="1" applyFill="1" applyBorder="1"/>
    <xf numFmtId="49" fontId="6" fillId="4" borderId="1" xfId="1" applyNumberFormat="1" applyFont="1" applyFill="1" applyBorder="1" applyAlignment="1">
      <alignment horizontal="center"/>
    </xf>
    <xf numFmtId="0" fontId="6" fillId="0" borderId="0" xfId="0" applyFont="1"/>
    <xf numFmtId="49" fontId="4" fillId="3" borderId="1" xfId="0" applyNumberFormat="1" applyFont="1" applyFill="1" applyBorder="1" applyAlignment="1">
      <alignment horizontal="center"/>
    </xf>
    <xf numFmtId="0" fontId="4" fillId="0" borderId="0" xfId="0" applyFont="1"/>
    <xf numFmtId="0" fontId="0" fillId="0" borderId="0" xfId="0" quotePrefix="1"/>
    <xf numFmtId="49" fontId="4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4" fillId="5" borderId="1" xfId="0" applyNumberFormat="1" applyFont="1" applyFill="1" applyBorder="1" applyAlignment="1">
      <alignment horizontal="center" vertical="center"/>
    </xf>
    <xf numFmtId="49" fontId="0" fillId="0" borderId="0" xfId="0" quotePrefix="1" applyNumberFormat="1"/>
    <xf numFmtId="49" fontId="0" fillId="5" borderId="1" xfId="0" applyNumberFormat="1" applyFill="1" applyBorder="1" applyAlignment="1">
      <alignment horizontal="center" vertic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3EDA-9C66-451F-822A-C0EAB86E5337}">
  <dimension ref="A1:AC3"/>
  <sheetViews>
    <sheetView tabSelected="1" workbookViewId="0">
      <selection activeCell="B13" sqref="B13"/>
    </sheetView>
  </sheetViews>
  <sheetFormatPr defaultRowHeight="15" x14ac:dyDescent="0.25"/>
  <cols>
    <col min="1" max="1" width="11.28515625" bestFit="1" customWidth="1"/>
    <col min="2" max="2" width="39.42578125" bestFit="1" customWidth="1"/>
    <col min="3" max="3" width="7.5703125" bestFit="1" customWidth="1"/>
    <col min="4" max="4" width="36.28515625" bestFit="1" customWidth="1"/>
    <col min="5" max="5" width="30.140625" bestFit="1" customWidth="1"/>
    <col min="6" max="6" width="22.42578125" bestFit="1" customWidth="1"/>
    <col min="7" max="7" width="23.42578125" bestFit="1" customWidth="1"/>
    <col min="8" max="8" width="20.42578125" bestFit="1" customWidth="1"/>
    <col min="9" max="9" width="38.5703125" bestFit="1" customWidth="1"/>
    <col min="10" max="10" width="11.85546875" bestFit="1" customWidth="1"/>
    <col min="11" max="11" width="29.28515625" bestFit="1" customWidth="1"/>
    <col min="12" max="12" width="8.140625" bestFit="1" customWidth="1"/>
    <col min="13" max="13" width="44.28515625" bestFit="1" customWidth="1"/>
    <col min="14" max="14" width="19.42578125" bestFit="1" customWidth="1"/>
    <col min="15" max="15" width="10" bestFit="1" customWidth="1"/>
    <col min="16" max="16" width="11.140625" bestFit="1" customWidth="1"/>
    <col min="17" max="17" width="16.42578125" bestFit="1" customWidth="1"/>
    <col min="18" max="18" width="18.7109375" bestFit="1" customWidth="1"/>
    <col min="19" max="19" width="7.85546875" bestFit="1" customWidth="1"/>
    <col min="20" max="20" width="13.28515625" bestFit="1" customWidth="1"/>
    <col min="21" max="21" width="9.28515625" bestFit="1" customWidth="1"/>
    <col min="22" max="22" width="37" bestFit="1" customWidth="1"/>
    <col min="23" max="23" width="7.85546875" bestFit="1" customWidth="1"/>
    <col min="24" max="24" width="11.5703125" bestFit="1" customWidth="1"/>
    <col min="25" max="25" width="21" bestFit="1" customWidth="1"/>
    <col min="26" max="26" width="8.5703125" bestFit="1" customWidth="1"/>
    <col min="27" max="27" width="21" bestFit="1" customWidth="1"/>
    <col min="28" max="28" width="6.5703125" bestFit="1" customWidth="1"/>
    <col min="29" max="29" width="22.5703125" bestFit="1" customWidth="1"/>
  </cols>
  <sheetData>
    <row r="1" spans="1:29" x14ac:dyDescent="0.25">
      <c r="A1" s="26" t="s">
        <v>91</v>
      </c>
      <c r="B1" s="27" t="s">
        <v>6</v>
      </c>
      <c r="C1" s="27" t="s">
        <v>0</v>
      </c>
      <c r="D1" s="27" t="s">
        <v>1</v>
      </c>
      <c r="E1" s="27" t="s">
        <v>7</v>
      </c>
      <c r="F1" s="27" t="s">
        <v>54</v>
      </c>
      <c r="G1" s="27" t="s">
        <v>55</v>
      </c>
      <c r="H1" s="27" t="s">
        <v>4</v>
      </c>
      <c r="I1" s="27" t="s">
        <v>92</v>
      </c>
      <c r="J1" s="27" t="s">
        <v>8</v>
      </c>
      <c r="K1" s="27" t="s">
        <v>94</v>
      </c>
      <c r="L1" s="27" t="s">
        <v>56</v>
      </c>
      <c r="M1" s="27" t="s">
        <v>10</v>
      </c>
      <c r="N1" s="27" t="s">
        <v>57</v>
      </c>
      <c r="O1" s="27" t="s">
        <v>58</v>
      </c>
      <c r="P1" s="27" t="s">
        <v>59</v>
      </c>
      <c r="Q1" s="27" t="s">
        <v>60</v>
      </c>
      <c r="R1" s="27" t="s">
        <v>61</v>
      </c>
      <c r="S1" s="27" t="s">
        <v>62</v>
      </c>
      <c r="T1" s="27" t="s">
        <v>63</v>
      </c>
      <c r="U1" s="27" t="s">
        <v>18</v>
      </c>
      <c r="V1" s="27" t="s">
        <v>95</v>
      </c>
      <c r="W1" s="27" t="s">
        <v>20</v>
      </c>
      <c r="X1" s="27" t="s">
        <v>98</v>
      </c>
      <c r="Y1" s="27" t="s">
        <v>22</v>
      </c>
      <c r="Z1" s="27" t="s">
        <v>23</v>
      </c>
      <c r="AA1" s="27" t="s">
        <v>22</v>
      </c>
      <c r="AB1" s="28" t="s">
        <v>23</v>
      </c>
      <c r="AC1" s="1" t="s">
        <v>264</v>
      </c>
    </row>
    <row r="2" spans="1:29" x14ac:dyDescent="0.25">
      <c r="A2" s="48" t="s">
        <v>118</v>
      </c>
      <c r="B2" s="17" t="s">
        <v>117</v>
      </c>
      <c r="C2" s="15" t="s">
        <v>266</v>
      </c>
      <c r="D2" s="17" t="s">
        <v>2</v>
      </c>
      <c r="E2" s="18" t="s">
        <v>3</v>
      </c>
      <c r="F2" s="15" t="s">
        <v>34</v>
      </c>
      <c r="G2" s="16" t="s">
        <v>35</v>
      </c>
      <c r="H2" s="18" t="s">
        <v>102</v>
      </c>
      <c r="I2" s="16" t="s">
        <v>178</v>
      </c>
      <c r="J2" s="19" t="s">
        <v>93</v>
      </c>
      <c r="K2" s="45" t="s">
        <v>31</v>
      </c>
      <c r="L2" s="16" t="s">
        <v>9</v>
      </c>
      <c r="M2" s="17" t="s">
        <v>36</v>
      </c>
      <c r="N2" s="18" t="s">
        <v>11</v>
      </c>
      <c r="O2" s="16" t="s">
        <v>12</v>
      </c>
      <c r="P2" s="16" t="s">
        <v>13</v>
      </c>
      <c r="Q2" s="16" t="s">
        <v>14</v>
      </c>
      <c r="R2" s="15" t="s">
        <v>15</v>
      </c>
      <c r="S2" s="16" t="s">
        <v>16</v>
      </c>
      <c r="T2" s="15" t="s">
        <v>17</v>
      </c>
      <c r="U2" s="15" t="s">
        <v>19</v>
      </c>
      <c r="V2" s="17" t="s">
        <v>29</v>
      </c>
      <c r="W2" s="15" t="s">
        <v>72</v>
      </c>
      <c r="X2" s="15" t="s">
        <v>103</v>
      </c>
      <c r="Y2" s="20" t="s">
        <v>73</v>
      </c>
      <c r="Z2" s="21" t="s">
        <v>119</v>
      </c>
      <c r="AA2" s="15" t="s">
        <v>75</v>
      </c>
      <c r="AB2" s="22" t="s">
        <v>120</v>
      </c>
      <c r="AC2">
        <f>COUNTIF(Planilha2!G:G,Planilha4!A2)</f>
        <v>2</v>
      </c>
    </row>
    <row r="3" spans="1:29" x14ac:dyDescent="0.25">
      <c r="A3" s="50" t="s">
        <v>171</v>
      </c>
      <c r="B3" s="6" t="s">
        <v>170</v>
      </c>
      <c r="C3" s="5" t="s">
        <v>64</v>
      </c>
      <c r="D3" s="6" t="s">
        <v>2</v>
      </c>
      <c r="E3" s="7" t="s">
        <v>3</v>
      </c>
      <c r="F3" s="5" t="s">
        <v>47</v>
      </c>
      <c r="G3" s="4" t="s">
        <v>46</v>
      </c>
      <c r="H3" s="7" t="s">
        <v>102</v>
      </c>
      <c r="I3" s="4" t="s">
        <v>178</v>
      </c>
      <c r="J3" s="8" t="s">
        <v>93</v>
      </c>
      <c r="K3" s="3" t="s">
        <v>30</v>
      </c>
      <c r="L3" s="4" t="s">
        <v>9</v>
      </c>
      <c r="M3" s="4" t="s">
        <v>48</v>
      </c>
      <c r="N3" s="7" t="s">
        <v>11</v>
      </c>
      <c r="O3" s="4" t="s">
        <v>12</v>
      </c>
      <c r="P3" s="4" t="s">
        <v>13</v>
      </c>
      <c r="Q3" s="4" t="s">
        <v>14</v>
      </c>
      <c r="R3" s="5" t="s">
        <v>15</v>
      </c>
      <c r="S3" s="4" t="s">
        <v>16</v>
      </c>
      <c r="T3" s="5" t="s">
        <v>17</v>
      </c>
      <c r="U3" s="5" t="s">
        <v>19</v>
      </c>
      <c r="V3" s="6" t="s">
        <v>28</v>
      </c>
      <c r="W3" s="5" t="s">
        <v>72</v>
      </c>
      <c r="X3" s="5" t="s">
        <v>103</v>
      </c>
      <c r="Y3" s="9" t="s">
        <v>73</v>
      </c>
      <c r="Z3" s="10" t="s">
        <v>104</v>
      </c>
      <c r="AA3" s="5" t="s">
        <v>75</v>
      </c>
      <c r="AB3" s="11" t="s">
        <v>78</v>
      </c>
      <c r="AC3">
        <f>COUNTIF(Planilha2!G:G,Planilha4!A3)</f>
        <v>2</v>
      </c>
    </row>
  </sheetData>
  <autoFilter ref="A1:AC3" xr:uid="{F3483EDA-9C66-451F-822A-C0EAB86E5337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51"/>
  <sheetViews>
    <sheetView workbookViewId="0">
      <selection sqref="A1:B35"/>
    </sheetView>
  </sheetViews>
  <sheetFormatPr defaultRowHeight="15" x14ac:dyDescent="0.25"/>
  <cols>
    <col min="1" max="1" width="11.28515625" style="14" bestFit="1" customWidth="1"/>
    <col min="2" max="2" width="37.7109375" customWidth="1"/>
    <col min="3" max="3" width="7.5703125" bestFit="1" customWidth="1"/>
    <col min="4" max="4" width="36.28515625" bestFit="1" customWidth="1"/>
    <col min="5" max="5" width="30.140625" bestFit="1" customWidth="1"/>
    <col min="6" max="6" width="22.42578125" customWidth="1"/>
    <col min="7" max="7" width="25.85546875" customWidth="1"/>
    <col min="8" max="8" width="20.42578125" bestFit="1" customWidth="1"/>
    <col min="9" max="9" width="26.5703125" customWidth="1"/>
    <col min="10" max="10" width="15.5703125" customWidth="1"/>
    <col min="11" max="11" width="32.7109375" bestFit="1" customWidth="1"/>
    <col min="12" max="12" width="8.140625" bestFit="1" customWidth="1"/>
    <col min="13" max="13" width="43.7109375" bestFit="1" customWidth="1"/>
    <col min="14" max="14" width="19.42578125" bestFit="1" customWidth="1"/>
    <col min="15" max="15" width="9.85546875" bestFit="1" customWidth="1"/>
    <col min="16" max="16" width="11.140625" bestFit="1" customWidth="1"/>
    <col min="17" max="17" width="16.42578125" bestFit="1" customWidth="1"/>
    <col min="18" max="18" width="18.7109375" bestFit="1" customWidth="1"/>
    <col min="19" max="19" width="12.7109375" bestFit="1" customWidth="1"/>
    <col min="20" max="20" width="13.28515625" bestFit="1" customWidth="1"/>
    <col min="22" max="22" width="38.140625" bestFit="1" customWidth="1"/>
    <col min="24" max="24" width="22" bestFit="1" customWidth="1"/>
    <col min="25" max="25" width="21" bestFit="1" customWidth="1"/>
    <col min="26" max="26" width="13.28515625" bestFit="1" customWidth="1"/>
    <col min="27" max="27" width="21" bestFit="1" customWidth="1"/>
    <col min="28" max="28" width="10.5703125" bestFit="1" customWidth="1"/>
    <col min="29" max="29" width="22.5703125" bestFit="1" customWidth="1"/>
  </cols>
  <sheetData>
    <row r="1" spans="1:29" ht="21.75" customHeight="1" x14ac:dyDescent="0.25">
      <c r="A1" s="26" t="s">
        <v>91</v>
      </c>
      <c r="B1" s="27" t="s">
        <v>6</v>
      </c>
      <c r="C1" s="27" t="s">
        <v>0</v>
      </c>
      <c r="D1" s="27" t="s">
        <v>1</v>
      </c>
      <c r="E1" s="27" t="s">
        <v>7</v>
      </c>
      <c r="F1" s="27" t="s">
        <v>54</v>
      </c>
      <c r="G1" s="27" t="s">
        <v>55</v>
      </c>
      <c r="H1" s="27" t="s">
        <v>4</v>
      </c>
      <c r="I1" s="27" t="s">
        <v>92</v>
      </c>
      <c r="J1" s="27" t="s">
        <v>8</v>
      </c>
      <c r="K1" s="27" t="s">
        <v>94</v>
      </c>
      <c r="L1" s="27" t="s">
        <v>56</v>
      </c>
      <c r="M1" s="27" t="s">
        <v>10</v>
      </c>
      <c r="N1" s="27" t="s">
        <v>57</v>
      </c>
      <c r="O1" s="27" t="s">
        <v>58</v>
      </c>
      <c r="P1" s="27" t="s">
        <v>59</v>
      </c>
      <c r="Q1" s="27" t="s">
        <v>60</v>
      </c>
      <c r="R1" s="27" t="s">
        <v>61</v>
      </c>
      <c r="S1" s="27" t="s">
        <v>62</v>
      </c>
      <c r="T1" s="27" t="s">
        <v>63</v>
      </c>
      <c r="U1" s="27" t="s">
        <v>18</v>
      </c>
      <c r="V1" s="27" t="s">
        <v>95</v>
      </c>
      <c r="W1" s="27" t="s">
        <v>20</v>
      </c>
      <c r="X1" s="27" t="s">
        <v>98</v>
      </c>
      <c r="Y1" s="27" t="s">
        <v>22</v>
      </c>
      <c r="Z1" s="27" t="s">
        <v>23</v>
      </c>
      <c r="AA1" s="27" t="s">
        <v>22</v>
      </c>
      <c r="AB1" s="28" t="s">
        <v>23</v>
      </c>
      <c r="AC1" s="1" t="s">
        <v>264</v>
      </c>
    </row>
    <row r="2" spans="1:29" x14ac:dyDescent="0.25">
      <c r="A2" s="12" t="s">
        <v>100</v>
      </c>
      <c r="B2" s="6" t="s">
        <v>101</v>
      </c>
      <c r="C2" s="5" t="s">
        <v>64</v>
      </c>
      <c r="D2" s="6" t="s">
        <v>2</v>
      </c>
      <c r="E2" s="7" t="s">
        <v>3</v>
      </c>
      <c r="F2" s="5" t="s">
        <v>47</v>
      </c>
      <c r="G2" s="4" t="s">
        <v>46</v>
      </c>
      <c r="H2" s="7" t="s">
        <v>102</v>
      </c>
      <c r="I2" s="4" t="s">
        <v>178</v>
      </c>
      <c r="J2" s="8" t="s">
        <v>93</v>
      </c>
      <c r="K2" s="3" t="s">
        <v>30</v>
      </c>
      <c r="L2" s="4" t="s">
        <v>9</v>
      </c>
      <c r="M2" s="4" t="s">
        <v>48</v>
      </c>
      <c r="N2" s="7" t="s">
        <v>11</v>
      </c>
      <c r="O2" s="4" t="s">
        <v>12</v>
      </c>
      <c r="P2" s="4" t="s">
        <v>13</v>
      </c>
      <c r="Q2" s="4" t="s">
        <v>14</v>
      </c>
      <c r="R2" s="5" t="s">
        <v>15</v>
      </c>
      <c r="S2" s="4" t="s">
        <v>16</v>
      </c>
      <c r="T2" s="5" t="s">
        <v>17</v>
      </c>
      <c r="U2" s="5" t="s">
        <v>19</v>
      </c>
      <c r="V2" s="6" t="s">
        <v>28</v>
      </c>
      <c r="W2" s="5" t="s">
        <v>72</v>
      </c>
      <c r="X2" s="5" t="s">
        <v>103</v>
      </c>
      <c r="Y2" s="9" t="s">
        <v>73</v>
      </c>
      <c r="Z2" s="10" t="s">
        <v>104</v>
      </c>
      <c r="AA2" s="5" t="s">
        <v>75</v>
      </c>
      <c r="AB2" s="11" t="s">
        <v>78</v>
      </c>
      <c r="AC2">
        <f>COUNTIF(Planilha2!C:C,Aposentadoria!A2)</f>
        <v>0</v>
      </c>
    </row>
    <row r="3" spans="1:29" x14ac:dyDescent="0.25">
      <c r="A3" s="12" t="s">
        <v>106</v>
      </c>
      <c r="B3" s="6" t="s">
        <v>105</v>
      </c>
      <c r="C3" s="5" t="s">
        <v>64</v>
      </c>
      <c r="D3" s="6" t="s">
        <v>2</v>
      </c>
      <c r="E3" s="7" t="s">
        <v>3</v>
      </c>
      <c r="F3" s="5" t="s">
        <v>38</v>
      </c>
      <c r="G3" s="4" t="s">
        <v>39</v>
      </c>
      <c r="H3" s="7" t="s">
        <v>102</v>
      </c>
      <c r="I3" s="4" t="s">
        <v>178</v>
      </c>
      <c r="J3" s="8" t="s">
        <v>93</v>
      </c>
      <c r="K3" s="3" t="s">
        <v>30</v>
      </c>
      <c r="L3" s="4" t="s">
        <v>9</v>
      </c>
      <c r="M3" s="6" t="s">
        <v>40</v>
      </c>
      <c r="N3" s="7" t="s">
        <v>11</v>
      </c>
      <c r="O3" s="4" t="s">
        <v>12</v>
      </c>
      <c r="P3" s="4" t="s">
        <v>13</v>
      </c>
      <c r="Q3" s="4" t="s">
        <v>14</v>
      </c>
      <c r="R3" s="5" t="s">
        <v>15</v>
      </c>
      <c r="S3" s="4" t="s">
        <v>16</v>
      </c>
      <c r="T3" s="5" t="s">
        <v>17</v>
      </c>
      <c r="U3" s="5" t="s">
        <v>19</v>
      </c>
      <c r="V3" s="6" t="s">
        <v>28</v>
      </c>
      <c r="W3" s="5" t="s">
        <v>72</v>
      </c>
      <c r="X3" s="5" t="s">
        <v>103</v>
      </c>
      <c r="Y3" s="9" t="s">
        <v>73</v>
      </c>
      <c r="Z3" s="10" t="s">
        <v>107</v>
      </c>
      <c r="AA3" s="5" t="s">
        <v>75</v>
      </c>
      <c r="AB3" s="11" t="s">
        <v>78</v>
      </c>
      <c r="AC3">
        <f>COUNTIF(Planilha2!C:C,Aposentadoria!A3)</f>
        <v>0</v>
      </c>
    </row>
    <row r="4" spans="1:29" x14ac:dyDescent="0.25">
      <c r="A4" s="29" t="s">
        <v>109</v>
      </c>
      <c r="B4" s="17" t="s">
        <v>108</v>
      </c>
      <c r="C4" s="15" t="s">
        <v>64</v>
      </c>
      <c r="D4" s="17" t="s">
        <v>2</v>
      </c>
      <c r="E4" s="18" t="s">
        <v>3</v>
      </c>
      <c r="F4" s="15" t="s">
        <v>38</v>
      </c>
      <c r="G4" s="16" t="s">
        <v>39</v>
      </c>
      <c r="H4" s="18" t="s">
        <v>102</v>
      </c>
      <c r="I4" s="16" t="s">
        <v>178</v>
      </c>
      <c r="J4" s="19" t="s">
        <v>93</v>
      </c>
      <c r="K4" s="44" t="s">
        <v>110</v>
      </c>
      <c r="L4" s="16" t="s">
        <v>9</v>
      </c>
      <c r="M4" s="17" t="s">
        <v>40</v>
      </c>
      <c r="N4" s="18" t="s">
        <v>11</v>
      </c>
      <c r="O4" s="41" t="s">
        <v>25</v>
      </c>
      <c r="P4" s="16" t="s">
        <v>13</v>
      </c>
      <c r="Q4" s="16" t="s">
        <v>14</v>
      </c>
      <c r="R4" s="15" t="s">
        <v>15</v>
      </c>
      <c r="S4" s="16" t="s">
        <v>16</v>
      </c>
      <c r="T4" s="15" t="s">
        <v>17</v>
      </c>
      <c r="U4" s="15" t="s">
        <v>19</v>
      </c>
      <c r="V4" s="17" t="s">
        <v>42</v>
      </c>
      <c r="W4" s="15" t="s">
        <v>72</v>
      </c>
      <c r="X4" s="15" t="s">
        <v>103</v>
      </c>
      <c r="Y4" s="20" t="s">
        <v>73</v>
      </c>
      <c r="Z4" s="21" t="s">
        <v>107</v>
      </c>
      <c r="AA4" s="15" t="s">
        <v>75</v>
      </c>
      <c r="AB4" s="22" t="s">
        <v>78</v>
      </c>
      <c r="AC4">
        <v>0</v>
      </c>
    </row>
    <row r="5" spans="1:29" x14ac:dyDescent="0.25">
      <c r="A5" s="29" t="s">
        <v>111</v>
      </c>
      <c r="B5" s="17" t="s">
        <v>112</v>
      </c>
      <c r="C5" s="15" t="s">
        <v>64</v>
      </c>
      <c r="D5" s="17" t="s">
        <v>2</v>
      </c>
      <c r="E5" s="18" t="s">
        <v>3</v>
      </c>
      <c r="F5" s="15" t="s">
        <v>38</v>
      </c>
      <c r="G5" s="16" t="s">
        <v>39</v>
      </c>
      <c r="H5" s="18" t="s">
        <v>102</v>
      </c>
      <c r="I5" s="16" t="s">
        <v>178</v>
      </c>
      <c r="J5" s="19" t="s">
        <v>24</v>
      </c>
      <c r="K5" s="44" t="s">
        <v>113</v>
      </c>
      <c r="L5" s="16" t="s">
        <v>9</v>
      </c>
      <c r="M5" s="17" t="s">
        <v>40</v>
      </c>
      <c r="N5" s="18" t="s">
        <v>11</v>
      </c>
      <c r="O5" s="41" t="s">
        <v>25</v>
      </c>
      <c r="P5" s="16" t="s">
        <v>13</v>
      </c>
      <c r="Q5" s="16" t="s">
        <v>26</v>
      </c>
      <c r="R5" s="15" t="s">
        <v>15</v>
      </c>
      <c r="S5" s="16" t="s">
        <v>26</v>
      </c>
      <c r="T5" s="15" t="s">
        <v>17</v>
      </c>
      <c r="U5" s="15" t="s">
        <v>19</v>
      </c>
      <c r="V5" s="17" t="s">
        <v>42</v>
      </c>
      <c r="W5" s="15" t="s">
        <v>72</v>
      </c>
      <c r="X5" s="15" t="s">
        <v>103</v>
      </c>
      <c r="Y5" s="20" t="s">
        <v>73</v>
      </c>
      <c r="Z5" s="21" t="s">
        <v>114</v>
      </c>
      <c r="AA5" s="15" t="s">
        <v>75</v>
      </c>
      <c r="AB5" s="22" t="s">
        <v>78</v>
      </c>
      <c r="AC5">
        <v>0</v>
      </c>
    </row>
    <row r="6" spans="1:29" s="40" customFormat="1" x14ac:dyDescent="0.25">
      <c r="A6" s="30" t="s">
        <v>116</v>
      </c>
      <c r="B6" s="25" t="s">
        <v>115</v>
      </c>
      <c r="C6" s="31" t="s">
        <v>64</v>
      </c>
      <c r="D6" s="25" t="s">
        <v>2</v>
      </c>
      <c r="E6" s="32" t="s">
        <v>3</v>
      </c>
      <c r="F6" s="33" t="s">
        <v>47</v>
      </c>
      <c r="G6" s="34" t="s">
        <v>46</v>
      </c>
      <c r="H6" s="32" t="s">
        <v>102</v>
      </c>
      <c r="I6" s="34" t="s">
        <v>178</v>
      </c>
      <c r="J6" s="35" t="s">
        <v>93</v>
      </c>
      <c r="K6" s="36" t="s">
        <v>30</v>
      </c>
      <c r="L6" s="34" t="s">
        <v>9</v>
      </c>
      <c r="M6" s="34" t="s">
        <v>48</v>
      </c>
      <c r="N6" s="32" t="s">
        <v>11</v>
      </c>
      <c r="O6" s="34" t="s">
        <v>12</v>
      </c>
      <c r="P6" s="34" t="s">
        <v>13</v>
      </c>
      <c r="Q6" s="34" t="s">
        <v>14</v>
      </c>
      <c r="R6" s="31" t="s">
        <v>15</v>
      </c>
      <c r="S6" s="34" t="s">
        <v>16</v>
      </c>
      <c r="T6" s="31" t="s">
        <v>17</v>
      </c>
      <c r="U6" s="31" t="s">
        <v>19</v>
      </c>
      <c r="V6" s="25" t="s">
        <v>28</v>
      </c>
      <c r="W6" s="31" t="s">
        <v>72</v>
      </c>
      <c r="X6" s="31" t="s">
        <v>103</v>
      </c>
      <c r="Y6" s="37" t="s">
        <v>73</v>
      </c>
      <c r="Z6" s="38" t="s">
        <v>104</v>
      </c>
      <c r="AA6" s="31" t="s">
        <v>75</v>
      </c>
      <c r="AB6" s="39" t="s">
        <v>78</v>
      </c>
      <c r="AC6">
        <f>COUNTIF(Planilha2!C:C,Aposentadoria!A6)</f>
        <v>0</v>
      </c>
    </row>
    <row r="7" spans="1:29" s="42" customFormat="1" hidden="1" x14ac:dyDescent="0.25">
      <c r="A7" s="29" t="s">
        <v>118</v>
      </c>
      <c r="B7" s="17" t="s">
        <v>117</v>
      </c>
      <c r="C7" s="15" t="s">
        <v>64</v>
      </c>
      <c r="D7" s="17" t="s">
        <v>2</v>
      </c>
      <c r="E7" s="18" t="s">
        <v>3</v>
      </c>
      <c r="F7" s="15" t="s">
        <v>34</v>
      </c>
      <c r="G7" s="16" t="s">
        <v>35</v>
      </c>
      <c r="H7" s="18" t="s">
        <v>102</v>
      </c>
      <c r="I7" s="16" t="s">
        <v>178</v>
      </c>
      <c r="J7" s="19" t="s">
        <v>93</v>
      </c>
      <c r="K7" s="45" t="s">
        <v>31</v>
      </c>
      <c r="L7" s="16" t="s">
        <v>9</v>
      </c>
      <c r="M7" s="17" t="s">
        <v>36</v>
      </c>
      <c r="N7" s="18" t="s">
        <v>11</v>
      </c>
      <c r="O7" s="16" t="s">
        <v>12</v>
      </c>
      <c r="P7" s="16" t="s">
        <v>13</v>
      </c>
      <c r="Q7" s="16" t="s">
        <v>14</v>
      </c>
      <c r="R7" s="15" t="s">
        <v>15</v>
      </c>
      <c r="S7" s="16" t="s">
        <v>16</v>
      </c>
      <c r="T7" s="15" t="s">
        <v>17</v>
      </c>
      <c r="U7" s="15" t="s">
        <v>19</v>
      </c>
      <c r="V7" s="17" t="s">
        <v>29</v>
      </c>
      <c r="W7" s="15" t="s">
        <v>72</v>
      </c>
      <c r="X7" s="15" t="s">
        <v>103</v>
      </c>
      <c r="Y7" s="20" t="s">
        <v>73</v>
      </c>
      <c r="Z7" s="21" t="s">
        <v>119</v>
      </c>
      <c r="AA7" s="15" t="s">
        <v>75</v>
      </c>
      <c r="AB7" s="22" t="s">
        <v>120</v>
      </c>
      <c r="AC7">
        <f>COUNTIF(Planilha2!C:C,Aposentadoria!A7)</f>
        <v>2</v>
      </c>
    </row>
    <row r="8" spans="1:29" x14ac:dyDescent="0.25">
      <c r="A8" s="12" t="s">
        <v>122</v>
      </c>
      <c r="B8" s="6" t="s">
        <v>121</v>
      </c>
      <c r="C8" s="5" t="s">
        <v>64</v>
      </c>
      <c r="D8" s="6" t="s">
        <v>2</v>
      </c>
      <c r="E8" s="7" t="s">
        <v>3</v>
      </c>
      <c r="F8" s="5" t="s">
        <v>50</v>
      </c>
      <c r="G8" s="4" t="s">
        <v>51</v>
      </c>
      <c r="H8" s="7" t="s">
        <v>102</v>
      </c>
      <c r="I8" s="4" t="s">
        <v>178</v>
      </c>
      <c r="J8" s="8" t="s">
        <v>93</v>
      </c>
      <c r="K8" s="3" t="s">
        <v>30</v>
      </c>
      <c r="L8" s="4" t="s">
        <v>9</v>
      </c>
      <c r="M8" s="6" t="s">
        <v>52</v>
      </c>
      <c r="N8" s="7" t="s">
        <v>11</v>
      </c>
      <c r="O8" s="4" t="s">
        <v>12</v>
      </c>
      <c r="P8" s="4" t="s">
        <v>13</v>
      </c>
      <c r="Q8" s="4" t="s">
        <v>14</v>
      </c>
      <c r="R8" s="5" t="s">
        <v>15</v>
      </c>
      <c r="S8" s="4" t="s">
        <v>16</v>
      </c>
      <c r="T8" s="5" t="s">
        <v>17</v>
      </c>
      <c r="U8" s="5" t="s">
        <v>19</v>
      </c>
      <c r="V8" s="6" t="s">
        <v>28</v>
      </c>
      <c r="W8" s="5" t="s">
        <v>72</v>
      </c>
      <c r="X8" s="5" t="s">
        <v>103</v>
      </c>
      <c r="Y8" s="9" t="s">
        <v>73</v>
      </c>
      <c r="Z8" s="10" t="s">
        <v>123</v>
      </c>
      <c r="AA8" s="5" t="s">
        <v>75</v>
      </c>
      <c r="AB8" s="11" t="s">
        <v>78</v>
      </c>
      <c r="AC8">
        <f>COUNTIF(Planilha2!C:C,Aposentadoria!A8)</f>
        <v>0</v>
      </c>
    </row>
    <row r="9" spans="1:29" hidden="1" x14ac:dyDescent="0.25">
      <c r="A9" s="12" t="s">
        <v>125</v>
      </c>
      <c r="B9" s="6" t="s">
        <v>124</v>
      </c>
      <c r="C9" s="5" t="s">
        <v>64</v>
      </c>
      <c r="D9" s="6" t="s">
        <v>2</v>
      </c>
      <c r="E9" s="7" t="s">
        <v>3</v>
      </c>
      <c r="F9" s="5" t="s">
        <v>47</v>
      </c>
      <c r="G9" s="4" t="s">
        <v>46</v>
      </c>
      <c r="H9" s="7" t="s">
        <v>102</v>
      </c>
      <c r="I9" s="4" t="s">
        <v>178</v>
      </c>
      <c r="J9" s="8" t="s">
        <v>93</v>
      </c>
      <c r="K9" s="3" t="s">
        <v>30</v>
      </c>
      <c r="L9" s="4" t="s">
        <v>9</v>
      </c>
      <c r="M9" s="4" t="s">
        <v>48</v>
      </c>
      <c r="N9" s="7" t="s">
        <v>11</v>
      </c>
      <c r="O9" s="4" t="s">
        <v>12</v>
      </c>
      <c r="P9" s="4" t="s">
        <v>13</v>
      </c>
      <c r="Q9" s="4" t="s">
        <v>14</v>
      </c>
      <c r="R9" s="5" t="s">
        <v>15</v>
      </c>
      <c r="S9" s="4" t="s">
        <v>16</v>
      </c>
      <c r="T9" s="5" t="s">
        <v>17</v>
      </c>
      <c r="U9" s="5" t="s">
        <v>19</v>
      </c>
      <c r="V9" s="6" t="s">
        <v>28</v>
      </c>
      <c r="W9" s="5" t="s">
        <v>72</v>
      </c>
      <c r="X9" s="5" t="s">
        <v>103</v>
      </c>
      <c r="Y9" s="9" t="s">
        <v>73</v>
      </c>
      <c r="Z9" s="10" t="s">
        <v>104</v>
      </c>
      <c r="AA9" s="5" t="s">
        <v>75</v>
      </c>
      <c r="AB9" s="11" t="s">
        <v>78</v>
      </c>
      <c r="AC9">
        <f>COUNTIF(Planilha2!C:C,Aposentadoria!A9)</f>
        <v>2</v>
      </c>
    </row>
    <row r="10" spans="1:29" x14ac:dyDescent="0.25">
      <c r="A10" s="12" t="s">
        <v>127</v>
      </c>
      <c r="B10" s="6" t="s">
        <v>126</v>
      </c>
      <c r="C10" s="5" t="s">
        <v>64</v>
      </c>
      <c r="D10" s="6" t="s">
        <v>2</v>
      </c>
      <c r="E10" s="7" t="s">
        <v>3</v>
      </c>
      <c r="F10" s="5" t="s">
        <v>47</v>
      </c>
      <c r="G10" s="4" t="s">
        <v>46</v>
      </c>
      <c r="H10" s="7" t="s">
        <v>102</v>
      </c>
      <c r="I10" s="4" t="s">
        <v>178</v>
      </c>
      <c r="J10" s="8" t="s">
        <v>93</v>
      </c>
      <c r="K10" s="3" t="s">
        <v>30</v>
      </c>
      <c r="L10" s="4" t="s">
        <v>9</v>
      </c>
      <c r="M10" s="4" t="s">
        <v>48</v>
      </c>
      <c r="N10" s="7" t="s">
        <v>11</v>
      </c>
      <c r="O10" s="4" t="s">
        <v>12</v>
      </c>
      <c r="P10" s="4" t="s">
        <v>13</v>
      </c>
      <c r="Q10" s="4" t="s">
        <v>14</v>
      </c>
      <c r="R10" s="5" t="s">
        <v>15</v>
      </c>
      <c r="S10" s="4" t="s">
        <v>16</v>
      </c>
      <c r="T10" s="5" t="s">
        <v>17</v>
      </c>
      <c r="U10" s="5" t="s">
        <v>19</v>
      </c>
      <c r="V10" s="6" t="s">
        <v>28</v>
      </c>
      <c r="W10" s="5" t="s">
        <v>72</v>
      </c>
      <c r="X10" s="5" t="s">
        <v>103</v>
      </c>
      <c r="Y10" s="9" t="s">
        <v>73</v>
      </c>
      <c r="Z10" s="10" t="s">
        <v>104</v>
      </c>
      <c r="AA10" s="5" t="s">
        <v>75</v>
      </c>
      <c r="AB10" s="11" t="s">
        <v>78</v>
      </c>
      <c r="AC10">
        <f>COUNTIF(Planilha2!C:C,Aposentadoria!A10)</f>
        <v>0</v>
      </c>
    </row>
    <row r="11" spans="1:29" hidden="1" x14ac:dyDescent="0.25">
      <c r="A11" s="12" t="s">
        <v>129</v>
      </c>
      <c r="B11" s="6" t="s">
        <v>128</v>
      </c>
      <c r="C11" s="5" t="s">
        <v>64</v>
      </c>
      <c r="D11" s="6" t="s">
        <v>2</v>
      </c>
      <c r="E11" s="7" t="s">
        <v>3</v>
      </c>
      <c r="F11" s="5" t="s">
        <v>47</v>
      </c>
      <c r="G11" s="4" t="s">
        <v>46</v>
      </c>
      <c r="H11" s="7" t="s">
        <v>102</v>
      </c>
      <c r="I11" s="4" t="s">
        <v>178</v>
      </c>
      <c r="J11" s="8" t="s">
        <v>93</v>
      </c>
      <c r="K11" s="3" t="s">
        <v>30</v>
      </c>
      <c r="L11" s="4" t="s">
        <v>9</v>
      </c>
      <c r="M11" s="4" t="s">
        <v>48</v>
      </c>
      <c r="N11" s="7" t="s">
        <v>11</v>
      </c>
      <c r="O11" s="4" t="s">
        <v>12</v>
      </c>
      <c r="P11" s="4" t="s">
        <v>13</v>
      </c>
      <c r="Q11" s="4" t="s">
        <v>14</v>
      </c>
      <c r="R11" s="5" t="s">
        <v>15</v>
      </c>
      <c r="S11" s="4" t="s">
        <v>16</v>
      </c>
      <c r="T11" s="5" t="s">
        <v>17</v>
      </c>
      <c r="U11" s="5" t="s">
        <v>19</v>
      </c>
      <c r="V11" s="6" t="s">
        <v>28</v>
      </c>
      <c r="W11" s="5" t="s">
        <v>72</v>
      </c>
      <c r="X11" s="5" t="s">
        <v>103</v>
      </c>
      <c r="Y11" s="9" t="s">
        <v>73</v>
      </c>
      <c r="Z11" s="10" t="s">
        <v>104</v>
      </c>
      <c r="AA11" s="5" t="s">
        <v>75</v>
      </c>
      <c r="AB11" s="11" t="s">
        <v>78</v>
      </c>
      <c r="AC11">
        <f>COUNTIF(Planilha2!C:C,Aposentadoria!A11)</f>
        <v>2</v>
      </c>
    </row>
    <row r="12" spans="1:29" x14ac:dyDescent="0.25">
      <c r="A12" s="12" t="s">
        <v>131</v>
      </c>
      <c r="B12" s="6" t="s">
        <v>130</v>
      </c>
      <c r="C12" s="5" t="s">
        <v>64</v>
      </c>
      <c r="D12" s="6" t="s">
        <v>2</v>
      </c>
      <c r="E12" s="7" t="s">
        <v>3</v>
      </c>
      <c r="F12" s="5" t="s">
        <v>47</v>
      </c>
      <c r="G12" s="4" t="s">
        <v>46</v>
      </c>
      <c r="H12" s="7" t="s">
        <v>102</v>
      </c>
      <c r="I12" s="4" t="s">
        <v>178</v>
      </c>
      <c r="J12" s="8" t="s">
        <v>93</v>
      </c>
      <c r="K12" s="3" t="s">
        <v>30</v>
      </c>
      <c r="L12" s="4" t="s">
        <v>9</v>
      </c>
      <c r="M12" s="4" t="s">
        <v>48</v>
      </c>
      <c r="N12" s="7" t="s">
        <v>11</v>
      </c>
      <c r="O12" s="4" t="s">
        <v>12</v>
      </c>
      <c r="P12" s="4" t="s">
        <v>13</v>
      </c>
      <c r="Q12" s="4" t="s">
        <v>14</v>
      </c>
      <c r="R12" s="5" t="s">
        <v>15</v>
      </c>
      <c r="S12" s="4" t="s">
        <v>16</v>
      </c>
      <c r="T12" s="5" t="s">
        <v>17</v>
      </c>
      <c r="U12" s="5" t="s">
        <v>19</v>
      </c>
      <c r="V12" s="6" t="s">
        <v>28</v>
      </c>
      <c r="W12" s="5" t="s">
        <v>72</v>
      </c>
      <c r="X12" s="5" t="s">
        <v>103</v>
      </c>
      <c r="Y12" s="9" t="s">
        <v>73</v>
      </c>
      <c r="Z12" s="10" t="s">
        <v>104</v>
      </c>
      <c r="AA12" s="5" t="s">
        <v>75</v>
      </c>
      <c r="AB12" s="11" t="s">
        <v>78</v>
      </c>
      <c r="AC12">
        <f>COUNTIF(Planilha2!C:C,Aposentadoria!A12)</f>
        <v>0</v>
      </c>
    </row>
    <row r="13" spans="1:29" x14ac:dyDescent="0.25">
      <c r="A13" s="12" t="s">
        <v>132</v>
      </c>
      <c r="B13" s="6" t="s">
        <v>133</v>
      </c>
      <c r="C13" s="5" t="s">
        <v>64</v>
      </c>
      <c r="D13" s="6" t="s">
        <v>2</v>
      </c>
      <c r="E13" s="7" t="s">
        <v>3</v>
      </c>
      <c r="F13" s="5" t="s">
        <v>47</v>
      </c>
      <c r="G13" s="4" t="s">
        <v>46</v>
      </c>
      <c r="H13" s="7" t="s">
        <v>102</v>
      </c>
      <c r="I13" s="4" t="s">
        <v>178</v>
      </c>
      <c r="J13" s="8" t="s">
        <v>93</v>
      </c>
      <c r="K13" s="3" t="s">
        <v>30</v>
      </c>
      <c r="L13" s="4" t="s">
        <v>9</v>
      </c>
      <c r="M13" s="4" t="s">
        <v>48</v>
      </c>
      <c r="N13" s="7" t="s">
        <v>11</v>
      </c>
      <c r="O13" s="4" t="s">
        <v>12</v>
      </c>
      <c r="P13" s="4" t="s">
        <v>13</v>
      </c>
      <c r="Q13" s="4" t="s">
        <v>14</v>
      </c>
      <c r="R13" s="5" t="s">
        <v>15</v>
      </c>
      <c r="S13" s="4" t="s">
        <v>16</v>
      </c>
      <c r="T13" s="5" t="s">
        <v>17</v>
      </c>
      <c r="U13" s="5" t="s">
        <v>19</v>
      </c>
      <c r="V13" s="6" t="s">
        <v>28</v>
      </c>
      <c r="W13" s="5" t="s">
        <v>72</v>
      </c>
      <c r="X13" s="5" t="s">
        <v>103</v>
      </c>
      <c r="Y13" s="9" t="s">
        <v>73</v>
      </c>
      <c r="Z13" s="10" t="s">
        <v>104</v>
      </c>
      <c r="AA13" s="5" t="s">
        <v>75</v>
      </c>
      <c r="AB13" s="11" t="s">
        <v>78</v>
      </c>
      <c r="AC13">
        <f>COUNTIF(Planilha2!C:C,Aposentadoria!A13)</f>
        <v>0</v>
      </c>
    </row>
    <row r="14" spans="1:29" hidden="1" x14ac:dyDescent="0.25">
      <c r="A14" s="12" t="s">
        <v>135</v>
      </c>
      <c r="B14" s="6" t="s">
        <v>134</v>
      </c>
      <c r="C14" s="5" t="s">
        <v>64</v>
      </c>
      <c r="D14" s="6" t="s">
        <v>2</v>
      </c>
      <c r="E14" s="7" t="s">
        <v>3</v>
      </c>
      <c r="F14" s="5" t="s">
        <v>47</v>
      </c>
      <c r="G14" s="4" t="s">
        <v>46</v>
      </c>
      <c r="H14" s="7" t="s">
        <v>102</v>
      </c>
      <c r="I14" s="4" t="s">
        <v>178</v>
      </c>
      <c r="J14" s="8" t="s">
        <v>93</v>
      </c>
      <c r="K14" s="3" t="s">
        <v>30</v>
      </c>
      <c r="L14" s="4" t="s">
        <v>9</v>
      </c>
      <c r="M14" s="4" t="s">
        <v>48</v>
      </c>
      <c r="N14" s="7" t="s">
        <v>11</v>
      </c>
      <c r="O14" s="4" t="s">
        <v>12</v>
      </c>
      <c r="P14" s="4" t="s">
        <v>13</v>
      </c>
      <c r="Q14" s="4" t="s">
        <v>14</v>
      </c>
      <c r="R14" s="5" t="s">
        <v>15</v>
      </c>
      <c r="S14" s="4" t="s">
        <v>16</v>
      </c>
      <c r="T14" s="5" t="s">
        <v>17</v>
      </c>
      <c r="U14" s="5" t="s">
        <v>19</v>
      </c>
      <c r="V14" s="6" t="s">
        <v>28</v>
      </c>
      <c r="W14" s="5" t="s">
        <v>72</v>
      </c>
      <c r="X14" s="5" t="s">
        <v>103</v>
      </c>
      <c r="Y14" s="9" t="s">
        <v>73</v>
      </c>
      <c r="Z14" s="10" t="s">
        <v>104</v>
      </c>
      <c r="AA14" s="5" t="s">
        <v>75</v>
      </c>
      <c r="AB14" s="11" t="s">
        <v>78</v>
      </c>
      <c r="AC14">
        <f>COUNTIF(Planilha2!C:C,Aposentadoria!A14)</f>
        <v>2</v>
      </c>
    </row>
    <row r="15" spans="1:29" hidden="1" x14ac:dyDescent="0.25">
      <c r="A15" s="12" t="s">
        <v>137</v>
      </c>
      <c r="B15" s="6" t="s">
        <v>136</v>
      </c>
      <c r="C15" s="5" t="s">
        <v>64</v>
      </c>
      <c r="D15" s="6" t="s">
        <v>2</v>
      </c>
      <c r="E15" s="7" t="s">
        <v>3</v>
      </c>
      <c r="F15" s="5" t="s">
        <v>47</v>
      </c>
      <c r="G15" s="4" t="s">
        <v>46</v>
      </c>
      <c r="H15" s="7" t="s">
        <v>102</v>
      </c>
      <c r="I15" s="4" t="s">
        <v>178</v>
      </c>
      <c r="J15" s="8" t="s">
        <v>93</v>
      </c>
      <c r="K15" s="3" t="s">
        <v>30</v>
      </c>
      <c r="L15" s="4" t="s">
        <v>9</v>
      </c>
      <c r="M15" s="4" t="s">
        <v>48</v>
      </c>
      <c r="N15" s="7" t="s">
        <v>11</v>
      </c>
      <c r="O15" s="4" t="s">
        <v>12</v>
      </c>
      <c r="P15" s="4" t="s">
        <v>13</v>
      </c>
      <c r="Q15" s="4" t="s">
        <v>14</v>
      </c>
      <c r="R15" s="5" t="s">
        <v>15</v>
      </c>
      <c r="S15" s="4" t="s">
        <v>16</v>
      </c>
      <c r="T15" s="5" t="s">
        <v>17</v>
      </c>
      <c r="U15" s="5" t="s">
        <v>19</v>
      </c>
      <c r="V15" s="6" t="s">
        <v>28</v>
      </c>
      <c r="W15" s="5" t="s">
        <v>72</v>
      </c>
      <c r="X15" s="5" t="s">
        <v>103</v>
      </c>
      <c r="Y15" s="9" t="s">
        <v>73</v>
      </c>
      <c r="Z15" s="10" t="s">
        <v>104</v>
      </c>
      <c r="AA15" s="5" t="s">
        <v>75</v>
      </c>
      <c r="AB15" s="11" t="s">
        <v>78</v>
      </c>
      <c r="AC15">
        <f>COUNTIF(Planilha2!C:C,Aposentadoria!A15)</f>
        <v>2</v>
      </c>
    </row>
    <row r="16" spans="1:29" hidden="1" x14ac:dyDescent="0.25">
      <c r="A16" s="12" t="s">
        <v>139</v>
      </c>
      <c r="B16" s="6" t="s">
        <v>138</v>
      </c>
      <c r="C16" s="5" t="s">
        <v>64</v>
      </c>
      <c r="D16" s="6" t="s">
        <v>2</v>
      </c>
      <c r="E16" s="7" t="s">
        <v>3</v>
      </c>
      <c r="F16" s="5" t="s">
        <v>47</v>
      </c>
      <c r="G16" s="4" t="s">
        <v>46</v>
      </c>
      <c r="H16" s="7" t="s">
        <v>102</v>
      </c>
      <c r="I16" s="4" t="s">
        <v>178</v>
      </c>
      <c r="J16" s="8" t="s">
        <v>93</v>
      </c>
      <c r="K16" s="3" t="s">
        <v>30</v>
      </c>
      <c r="L16" s="4" t="s">
        <v>9</v>
      </c>
      <c r="M16" s="4" t="s">
        <v>48</v>
      </c>
      <c r="N16" s="7" t="s">
        <v>11</v>
      </c>
      <c r="O16" s="4" t="s">
        <v>12</v>
      </c>
      <c r="P16" s="4" t="s">
        <v>13</v>
      </c>
      <c r="Q16" s="4" t="s">
        <v>14</v>
      </c>
      <c r="R16" s="5" t="s">
        <v>15</v>
      </c>
      <c r="S16" s="4" t="s">
        <v>16</v>
      </c>
      <c r="T16" s="5" t="s">
        <v>17</v>
      </c>
      <c r="U16" s="5" t="s">
        <v>19</v>
      </c>
      <c r="V16" s="6" t="s">
        <v>28</v>
      </c>
      <c r="W16" s="5" t="s">
        <v>72</v>
      </c>
      <c r="X16" s="5" t="s">
        <v>103</v>
      </c>
      <c r="Y16" s="9" t="s">
        <v>73</v>
      </c>
      <c r="Z16" s="10" t="s">
        <v>104</v>
      </c>
      <c r="AA16" s="5" t="s">
        <v>75</v>
      </c>
      <c r="AB16" s="11" t="s">
        <v>78</v>
      </c>
      <c r="AC16">
        <f>COUNTIF(Planilha2!C:C,Aposentadoria!A16)</f>
        <v>2</v>
      </c>
    </row>
    <row r="17" spans="1:29" hidden="1" x14ac:dyDescent="0.25">
      <c r="A17" s="12" t="s">
        <v>141</v>
      </c>
      <c r="B17" s="6" t="s">
        <v>140</v>
      </c>
      <c r="C17" s="5" t="s">
        <v>64</v>
      </c>
      <c r="D17" s="6" t="s">
        <v>2</v>
      </c>
      <c r="E17" s="7" t="s">
        <v>3</v>
      </c>
      <c r="F17" s="5" t="s">
        <v>47</v>
      </c>
      <c r="G17" s="4" t="s">
        <v>46</v>
      </c>
      <c r="H17" s="7" t="s">
        <v>102</v>
      </c>
      <c r="I17" s="4" t="s">
        <v>178</v>
      </c>
      <c r="J17" s="8" t="s">
        <v>93</v>
      </c>
      <c r="K17" s="3" t="s">
        <v>30</v>
      </c>
      <c r="L17" s="4" t="s">
        <v>9</v>
      </c>
      <c r="M17" s="4" t="s">
        <v>48</v>
      </c>
      <c r="N17" s="7" t="s">
        <v>11</v>
      </c>
      <c r="O17" s="4" t="s">
        <v>12</v>
      </c>
      <c r="P17" s="4" t="s">
        <v>13</v>
      </c>
      <c r="Q17" s="4" t="s">
        <v>14</v>
      </c>
      <c r="R17" s="5" t="s">
        <v>15</v>
      </c>
      <c r="S17" s="4" t="s">
        <v>16</v>
      </c>
      <c r="T17" s="5" t="s">
        <v>17</v>
      </c>
      <c r="U17" s="5" t="s">
        <v>19</v>
      </c>
      <c r="V17" s="6" t="s">
        <v>28</v>
      </c>
      <c r="W17" s="5" t="s">
        <v>72</v>
      </c>
      <c r="X17" s="5" t="s">
        <v>103</v>
      </c>
      <c r="Y17" s="9" t="s">
        <v>73</v>
      </c>
      <c r="Z17" s="10" t="s">
        <v>104</v>
      </c>
      <c r="AA17" s="5" t="s">
        <v>75</v>
      </c>
      <c r="AB17" s="11" t="s">
        <v>78</v>
      </c>
      <c r="AC17">
        <f>COUNTIF(Planilha2!C:C,Aposentadoria!A17)</f>
        <v>2</v>
      </c>
    </row>
    <row r="18" spans="1:29" hidden="1" x14ac:dyDescent="0.25">
      <c r="A18" s="12" t="s">
        <v>142</v>
      </c>
      <c r="B18" s="6" t="s">
        <v>143</v>
      </c>
      <c r="C18" s="5" t="s">
        <v>64</v>
      </c>
      <c r="D18" s="6" t="s">
        <v>2</v>
      </c>
      <c r="E18" s="7" t="s">
        <v>3</v>
      </c>
      <c r="F18" s="5" t="s">
        <v>47</v>
      </c>
      <c r="G18" s="4" t="s">
        <v>46</v>
      </c>
      <c r="H18" s="7" t="s">
        <v>102</v>
      </c>
      <c r="I18" s="4" t="s">
        <v>178</v>
      </c>
      <c r="J18" s="8" t="s">
        <v>93</v>
      </c>
      <c r="K18" s="3" t="s">
        <v>30</v>
      </c>
      <c r="L18" s="4" t="s">
        <v>9</v>
      </c>
      <c r="M18" s="4" t="s">
        <v>48</v>
      </c>
      <c r="N18" s="7" t="s">
        <v>11</v>
      </c>
      <c r="O18" s="4" t="s">
        <v>12</v>
      </c>
      <c r="P18" s="4" t="s">
        <v>13</v>
      </c>
      <c r="Q18" s="4" t="s">
        <v>14</v>
      </c>
      <c r="R18" s="5" t="s">
        <v>15</v>
      </c>
      <c r="S18" s="4" t="s">
        <v>16</v>
      </c>
      <c r="T18" s="5" t="s">
        <v>17</v>
      </c>
      <c r="U18" s="5" t="s">
        <v>19</v>
      </c>
      <c r="V18" s="6" t="s">
        <v>28</v>
      </c>
      <c r="W18" s="5" t="s">
        <v>72</v>
      </c>
      <c r="X18" s="5" t="s">
        <v>103</v>
      </c>
      <c r="Y18" s="9" t="s">
        <v>73</v>
      </c>
      <c r="Z18" s="10" t="s">
        <v>104</v>
      </c>
      <c r="AA18" s="5" t="s">
        <v>75</v>
      </c>
      <c r="AB18" s="11" t="s">
        <v>78</v>
      </c>
      <c r="AC18">
        <f>COUNTIF(Planilha2!C:C,Aposentadoria!A18)</f>
        <v>2</v>
      </c>
    </row>
    <row r="19" spans="1:29" hidden="1" x14ac:dyDescent="0.25">
      <c r="A19" s="12" t="s">
        <v>145</v>
      </c>
      <c r="B19" s="6" t="s">
        <v>144</v>
      </c>
      <c r="C19" s="5" t="s">
        <v>64</v>
      </c>
      <c r="D19" s="6" t="s">
        <v>2</v>
      </c>
      <c r="E19" s="7" t="s">
        <v>3</v>
      </c>
      <c r="F19" s="5" t="s">
        <v>47</v>
      </c>
      <c r="G19" s="4" t="s">
        <v>46</v>
      </c>
      <c r="H19" s="7" t="s">
        <v>102</v>
      </c>
      <c r="I19" s="4" t="s">
        <v>178</v>
      </c>
      <c r="J19" s="8" t="s">
        <v>93</v>
      </c>
      <c r="K19" s="3" t="s">
        <v>30</v>
      </c>
      <c r="L19" s="4" t="s">
        <v>9</v>
      </c>
      <c r="M19" s="4" t="s">
        <v>48</v>
      </c>
      <c r="N19" s="7" t="s">
        <v>11</v>
      </c>
      <c r="O19" s="4" t="s">
        <v>12</v>
      </c>
      <c r="P19" s="4" t="s">
        <v>13</v>
      </c>
      <c r="Q19" s="4" t="s">
        <v>14</v>
      </c>
      <c r="R19" s="5" t="s">
        <v>15</v>
      </c>
      <c r="S19" s="4" t="s">
        <v>16</v>
      </c>
      <c r="T19" s="5" t="s">
        <v>17</v>
      </c>
      <c r="U19" s="5" t="s">
        <v>19</v>
      </c>
      <c r="V19" s="6" t="s">
        <v>28</v>
      </c>
      <c r="W19" s="5" t="s">
        <v>72</v>
      </c>
      <c r="X19" s="5" t="s">
        <v>103</v>
      </c>
      <c r="Y19" s="9" t="s">
        <v>73</v>
      </c>
      <c r="Z19" s="10" t="s">
        <v>104</v>
      </c>
      <c r="AA19" s="5" t="s">
        <v>75</v>
      </c>
      <c r="AB19" s="11" t="s">
        <v>78</v>
      </c>
      <c r="AC19">
        <f>COUNTIF(Planilha2!C:C,Aposentadoria!A19)</f>
        <v>2</v>
      </c>
    </row>
    <row r="20" spans="1:29" x14ac:dyDescent="0.25">
      <c r="A20" s="12" t="s">
        <v>147</v>
      </c>
      <c r="B20" s="6" t="s">
        <v>146</v>
      </c>
      <c r="C20" s="5" t="s">
        <v>64</v>
      </c>
      <c r="D20" s="6" t="s">
        <v>2</v>
      </c>
      <c r="E20" s="7" t="s">
        <v>3</v>
      </c>
      <c r="F20" s="5" t="s">
        <v>47</v>
      </c>
      <c r="G20" s="4" t="s">
        <v>46</v>
      </c>
      <c r="H20" s="7" t="s">
        <v>102</v>
      </c>
      <c r="I20" s="4" t="s">
        <v>178</v>
      </c>
      <c r="J20" s="8" t="s">
        <v>93</v>
      </c>
      <c r="K20" s="3" t="s">
        <v>30</v>
      </c>
      <c r="L20" s="4" t="s">
        <v>9</v>
      </c>
      <c r="M20" s="4" t="s">
        <v>48</v>
      </c>
      <c r="N20" s="7" t="s">
        <v>11</v>
      </c>
      <c r="O20" s="4" t="s">
        <v>12</v>
      </c>
      <c r="P20" s="4" t="s">
        <v>13</v>
      </c>
      <c r="Q20" s="4" t="s">
        <v>14</v>
      </c>
      <c r="R20" s="5" t="s">
        <v>15</v>
      </c>
      <c r="S20" s="4" t="s">
        <v>16</v>
      </c>
      <c r="T20" s="5" t="s">
        <v>17</v>
      </c>
      <c r="U20" s="5" t="s">
        <v>19</v>
      </c>
      <c r="V20" s="6" t="s">
        <v>28</v>
      </c>
      <c r="W20" s="5" t="s">
        <v>72</v>
      </c>
      <c r="X20" s="5" t="s">
        <v>103</v>
      </c>
      <c r="Y20" s="9" t="s">
        <v>73</v>
      </c>
      <c r="Z20" s="10" t="s">
        <v>104</v>
      </c>
      <c r="AA20" s="5" t="s">
        <v>75</v>
      </c>
      <c r="AB20" s="11" t="s">
        <v>78</v>
      </c>
      <c r="AC20">
        <f>COUNTIF(Planilha2!C:C,Aposentadoria!A20)</f>
        <v>0</v>
      </c>
    </row>
    <row r="21" spans="1:29" hidden="1" x14ac:dyDescent="0.25">
      <c r="A21" s="12" t="s">
        <v>149</v>
      </c>
      <c r="B21" s="6" t="s">
        <v>148</v>
      </c>
      <c r="C21" s="5" t="s">
        <v>64</v>
      </c>
      <c r="D21" s="6" t="s">
        <v>2</v>
      </c>
      <c r="E21" s="7" t="s">
        <v>3</v>
      </c>
      <c r="F21" s="5" t="s">
        <v>47</v>
      </c>
      <c r="G21" s="4" t="s">
        <v>46</v>
      </c>
      <c r="H21" s="7" t="s">
        <v>102</v>
      </c>
      <c r="I21" s="4" t="s">
        <v>178</v>
      </c>
      <c r="J21" s="8" t="s">
        <v>93</v>
      </c>
      <c r="K21" s="3" t="s">
        <v>30</v>
      </c>
      <c r="L21" s="4" t="s">
        <v>9</v>
      </c>
      <c r="M21" s="4" t="s">
        <v>48</v>
      </c>
      <c r="N21" s="7" t="s">
        <v>11</v>
      </c>
      <c r="O21" s="4" t="s">
        <v>12</v>
      </c>
      <c r="P21" s="4" t="s">
        <v>13</v>
      </c>
      <c r="Q21" s="4" t="s">
        <v>14</v>
      </c>
      <c r="R21" s="5" t="s">
        <v>15</v>
      </c>
      <c r="S21" s="4" t="s">
        <v>16</v>
      </c>
      <c r="T21" s="5" t="s">
        <v>17</v>
      </c>
      <c r="U21" s="5" t="s">
        <v>19</v>
      </c>
      <c r="V21" s="6" t="s">
        <v>28</v>
      </c>
      <c r="W21" s="5" t="s">
        <v>72</v>
      </c>
      <c r="X21" s="5" t="s">
        <v>103</v>
      </c>
      <c r="Y21" s="9" t="s">
        <v>73</v>
      </c>
      <c r="Z21" s="10" t="s">
        <v>104</v>
      </c>
      <c r="AA21" s="5" t="s">
        <v>75</v>
      </c>
      <c r="AB21" s="11" t="s">
        <v>78</v>
      </c>
      <c r="AC21">
        <f>COUNTIF(Planilha2!C:C,Aposentadoria!A21)</f>
        <v>2</v>
      </c>
    </row>
    <row r="22" spans="1:29" hidden="1" x14ac:dyDescent="0.25">
      <c r="A22" s="12" t="s">
        <v>151</v>
      </c>
      <c r="B22" s="6" t="s">
        <v>150</v>
      </c>
      <c r="C22" s="5" t="s">
        <v>64</v>
      </c>
      <c r="D22" s="6" t="s">
        <v>2</v>
      </c>
      <c r="E22" s="7" t="s">
        <v>3</v>
      </c>
      <c r="F22" s="5" t="s">
        <v>47</v>
      </c>
      <c r="G22" s="4" t="s">
        <v>46</v>
      </c>
      <c r="H22" s="7" t="s">
        <v>102</v>
      </c>
      <c r="I22" s="4" t="s">
        <v>178</v>
      </c>
      <c r="J22" s="8" t="s">
        <v>93</v>
      </c>
      <c r="K22" s="3" t="s">
        <v>30</v>
      </c>
      <c r="L22" s="4" t="s">
        <v>9</v>
      </c>
      <c r="M22" s="4" t="s">
        <v>48</v>
      </c>
      <c r="N22" s="7" t="s">
        <v>11</v>
      </c>
      <c r="O22" s="4" t="s">
        <v>12</v>
      </c>
      <c r="P22" s="4" t="s">
        <v>13</v>
      </c>
      <c r="Q22" s="4" t="s">
        <v>14</v>
      </c>
      <c r="R22" s="5" t="s">
        <v>15</v>
      </c>
      <c r="S22" s="4" t="s">
        <v>16</v>
      </c>
      <c r="T22" s="5" t="s">
        <v>17</v>
      </c>
      <c r="U22" s="5" t="s">
        <v>19</v>
      </c>
      <c r="V22" s="6" t="s">
        <v>28</v>
      </c>
      <c r="W22" s="5" t="s">
        <v>72</v>
      </c>
      <c r="X22" s="5" t="s">
        <v>103</v>
      </c>
      <c r="Y22" s="9" t="s">
        <v>73</v>
      </c>
      <c r="Z22" s="10" t="s">
        <v>104</v>
      </c>
      <c r="AA22" s="5" t="s">
        <v>75</v>
      </c>
      <c r="AB22" s="11" t="s">
        <v>78</v>
      </c>
      <c r="AC22">
        <f>COUNTIF(Planilha2!C:C,Aposentadoria!A22)</f>
        <v>2</v>
      </c>
    </row>
    <row r="23" spans="1:29" x14ac:dyDescent="0.25">
      <c r="A23" s="12" t="s">
        <v>153</v>
      </c>
      <c r="B23" s="6" t="s">
        <v>152</v>
      </c>
      <c r="C23" s="5" t="s">
        <v>64</v>
      </c>
      <c r="D23" s="6" t="s">
        <v>2</v>
      </c>
      <c r="E23" s="7" t="s">
        <v>3</v>
      </c>
      <c r="F23" s="5" t="s">
        <v>47</v>
      </c>
      <c r="G23" s="4" t="s">
        <v>46</v>
      </c>
      <c r="H23" s="7" t="s">
        <v>102</v>
      </c>
      <c r="I23" s="4" t="s">
        <v>178</v>
      </c>
      <c r="J23" s="8" t="s">
        <v>93</v>
      </c>
      <c r="K23" s="3" t="s">
        <v>30</v>
      </c>
      <c r="L23" s="4" t="s">
        <v>9</v>
      </c>
      <c r="M23" s="4" t="s">
        <v>48</v>
      </c>
      <c r="N23" s="7" t="s">
        <v>11</v>
      </c>
      <c r="O23" s="4" t="s">
        <v>12</v>
      </c>
      <c r="P23" s="4" t="s">
        <v>13</v>
      </c>
      <c r="Q23" s="4" t="s">
        <v>14</v>
      </c>
      <c r="R23" s="5" t="s">
        <v>15</v>
      </c>
      <c r="S23" s="4" t="s">
        <v>16</v>
      </c>
      <c r="T23" s="5" t="s">
        <v>17</v>
      </c>
      <c r="U23" s="5" t="s">
        <v>19</v>
      </c>
      <c r="V23" s="6" t="s">
        <v>28</v>
      </c>
      <c r="W23" s="5" t="s">
        <v>72</v>
      </c>
      <c r="X23" s="5" t="s">
        <v>103</v>
      </c>
      <c r="Y23" s="9" t="s">
        <v>73</v>
      </c>
      <c r="Z23" s="10" t="s">
        <v>104</v>
      </c>
      <c r="AA23" s="5" t="s">
        <v>75</v>
      </c>
      <c r="AB23" s="11" t="s">
        <v>78</v>
      </c>
      <c r="AC23">
        <f>COUNTIF(Planilha2!C:C,Aposentadoria!A23)</f>
        <v>0</v>
      </c>
    </row>
    <row r="24" spans="1:29" x14ac:dyDescent="0.25">
      <c r="A24" s="12" t="s">
        <v>155</v>
      </c>
      <c r="B24" s="6" t="s">
        <v>154</v>
      </c>
      <c r="C24" s="5" t="s">
        <v>64</v>
      </c>
      <c r="D24" s="6" t="s">
        <v>2</v>
      </c>
      <c r="E24" s="7" t="s">
        <v>3</v>
      </c>
      <c r="F24" s="5" t="s">
        <v>47</v>
      </c>
      <c r="G24" s="4" t="s">
        <v>46</v>
      </c>
      <c r="H24" s="7" t="s">
        <v>102</v>
      </c>
      <c r="I24" s="4" t="s">
        <v>178</v>
      </c>
      <c r="J24" s="8" t="s">
        <v>93</v>
      </c>
      <c r="K24" s="3" t="s">
        <v>30</v>
      </c>
      <c r="L24" s="4" t="s">
        <v>9</v>
      </c>
      <c r="M24" s="4" t="s">
        <v>48</v>
      </c>
      <c r="N24" s="7" t="s">
        <v>11</v>
      </c>
      <c r="O24" s="4" t="s">
        <v>12</v>
      </c>
      <c r="P24" s="4" t="s">
        <v>13</v>
      </c>
      <c r="Q24" s="4" t="s">
        <v>14</v>
      </c>
      <c r="R24" s="5" t="s">
        <v>15</v>
      </c>
      <c r="S24" s="4" t="s">
        <v>16</v>
      </c>
      <c r="T24" s="5" t="s">
        <v>17</v>
      </c>
      <c r="U24" s="5" t="s">
        <v>19</v>
      </c>
      <c r="V24" s="6" t="s">
        <v>28</v>
      </c>
      <c r="W24" s="5" t="s">
        <v>72</v>
      </c>
      <c r="X24" s="5" t="s">
        <v>103</v>
      </c>
      <c r="Y24" s="9" t="s">
        <v>73</v>
      </c>
      <c r="Z24" s="10" t="s">
        <v>104</v>
      </c>
      <c r="AA24" s="5" t="s">
        <v>75</v>
      </c>
      <c r="AB24" s="11" t="s">
        <v>78</v>
      </c>
      <c r="AC24">
        <f>COUNTIF(Planilha2!C:C,Aposentadoria!A24)</f>
        <v>0</v>
      </c>
    </row>
    <row r="25" spans="1:29" hidden="1" x14ac:dyDescent="0.25">
      <c r="A25" s="12" t="s">
        <v>157</v>
      </c>
      <c r="B25" s="6" t="s">
        <v>156</v>
      </c>
      <c r="C25" s="5" t="s">
        <v>64</v>
      </c>
      <c r="D25" s="6" t="s">
        <v>2</v>
      </c>
      <c r="E25" s="7" t="s">
        <v>3</v>
      </c>
      <c r="F25" s="5" t="s">
        <v>47</v>
      </c>
      <c r="G25" s="4" t="s">
        <v>46</v>
      </c>
      <c r="H25" s="7" t="s">
        <v>102</v>
      </c>
      <c r="I25" s="4" t="s">
        <v>178</v>
      </c>
      <c r="J25" s="8" t="s">
        <v>93</v>
      </c>
      <c r="K25" s="3" t="s">
        <v>30</v>
      </c>
      <c r="L25" s="4" t="s">
        <v>9</v>
      </c>
      <c r="M25" s="4" t="s">
        <v>48</v>
      </c>
      <c r="N25" s="7" t="s">
        <v>11</v>
      </c>
      <c r="O25" s="4" t="s">
        <v>12</v>
      </c>
      <c r="P25" s="4" t="s">
        <v>13</v>
      </c>
      <c r="Q25" s="4" t="s">
        <v>14</v>
      </c>
      <c r="R25" s="5" t="s">
        <v>15</v>
      </c>
      <c r="S25" s="4" t="s">
        <v>16</v>
      </c>
      <c r="T25" s="5" t="s">
        <v>17</v>
      </c>
      <c r="U25" s="5" t="s">
        <v>19</v>
      </c>
      <c r="V25" s="6" t="s">
        <v>28</v>
      </c>
      <c r="W25" s="5" t="s">
        <v>72</v>
      </c>
      <c r="X25" s="5" t="s">
        <v>103</v>
      </c>
      <c r="Y25" s="9" t="s">
        <v>73</v>
      </c>
      <c r="Z25" s="10" t="s">
        <v>104</v>
      </c>
      <c r="AA25" s="5" t="s">
        <v>75</v>
      </c>
      <c r="AB25" s="11" t="s">
        <v>78</v>
      </c>
      <c r="AC25">
        <f>COUNTIF(Planilha2!C:C,Aposentadoria!A25)</f>
        <v>2</v>
      </c>
    </row>
    <row r="26" spans="1:29" hidden="1" x14ac:dyDescent="0.25">
      <c r="A26" s="12" t="s">
        <v>159</v>
      </c>
      <c r="B26" s="6" t="s">
        <v>158</v>
      </c>
      <c r="C26" s="5" t="s">
        <v>64</v>
      </c>
      <c r="D26" s="6" t="s">
        <v>2</v>
      </c>
      <c r="E26" s="7" t="s">
        <v>3</v>
      </c>
      <c r="F26" s="5" t="s">
        <v>47</v>
      </c>
      <c r="G26" s="4" t="s">
        <v>46</v>
      </c>
      <c r="H26" s="7" t="s">
        <v>102</v>
      </c>
      <c r="I26" s="4" t="s">
        <v>178</v>
      </c>
      <c r="J26" s="8" t="s">
        <v>93</v>
      </c>
      <c r="K26" s="3" t="s">
        <v>30</v>
      </c>
      <c r="L26" s="4" t="s">
        <v>9</v>
      </c>
      <c r="M26" s="4" t="s">
        <v>48</v>
      </c>
      <c r="N26" s="7" t="s">
        <v>11</v>
      </c>
      <c r="O26" s="4" t="s">
        <v>12</v>
      </c>
      <c r="P26" s="4" t="s">
        <v>13</v>
      </c>
      <c r="Q26" s="4" t="s">
        <v>14</v>
      </c>
      <c r="R26" s="5" t="s">
        <v>15</v>
      </c>
      <c r="S26" s="4" t="s">
        <v>16</v>
      </c>
      <c r="T26" s="5" t="s">
        <v>17</v>
      </c>
      <c r="U26" s="5" t="s">
        <v>19</v>
      </c>
      <c r="V26" s="6" t="s">
        <v>28</v>
      </c>
      <c r="W26" s="5" t="s">
        <v>72</v>
      </c>
      <c r="X26" s="5" t="s">
        <v>103</v>
      </c>
      <c r="Y26" s="9" t="s">
        <v>73</v>
      </c>
      <c r="Z26" s="10" t="s">
        <v>104</v>
      </c>
      <c r="AA26" s="5" t="s">
        <v>75</v>
      </c>
      <c r="AB26" s="11" t="s">
        <v>78</v>
      </c>
      <c r="AC26">
        <f>COUNTIF(Planilha2!C:C,Aposentadoria!A26)</f>
        <v>2</v>
      </c>
    </row>
    <row r="27" spans="1:29" hidden="1" x14ac:dyDescent="0.25">
      <c r="A27" s="12" t="s">
        <v>161</v>
      </c>
      <c r="B27" s="6" t="s">
        <v>160</v>
      </c>
      <c r="C27" s="5" t="s">
        <v>64</v>
      </c>
      <c r="D27" s="6" t="s">
        <v>2</v>
      </c>
      <c r="E27" s="7" t="s">
        <v>3</v>
      </c>
      <c r="F27" s="5" t="s">
        <v>47</v>
      </c>
      <c r="G27" s="4" t="s">
        <v>46</v>
      </c>
      <c r="H27" s="7" t="s">
        <v>102</v>
      </c>
      <c r="I27" s="4" t="s">
        <v>178</v>
      </c>
      <c r="J27" s="8" t="s">
        <v>93</v>
      </c>
      <c r="K27" s="3" t="s">
        <v>30</v>
      </c>
      <c r="L27" s="4" t="s">
        <v>9</v>
      </c>
      <c r="M27" s="4" t="s">
        <v>48</v>
      </c>
      <c r="N27" s="7" t="s">
        <v>11</v>
      </c>
      <c r="O27" s="4" t="s">
        <v>12</v>
      </c>
      <c r="P27" s="4" t="s">
        <v>13</v>
      </c>
      <c r="Q27" s="4" t="s">
        <v>14</v>
      </c>
      <c r="R27" s="5" t="s">
        <v>15</v>
      </c>
      <c r="S27" s="4" t="s">
        <v>16</v>
      </c>
      <c r="T27" s="5" t="s">
        <v>17</v>
      </c>
      <c r="U27" s="5" t="s">
        <v>19</v>
      </c>
      <c r="V27" s="6" t="s">
        <v>28</v>
      </c>
      <c r="W27" s="5" t="s">
        <v>72</v>
      </c>
      <c r="X27" s="5" t="s">
        <v>103</v>
      </c>
      <c r="Y27" s="9" t="s">
        <v>73</v>
      </c>
      <c r="Z27" s="10" t="s">
        <v>104</v>
      </c>
      <c r="AA27" s="5" t="s">
        <v>75</v>
      </c>
      <c r="AB27" s="11" t="s">
        <v>78</v>
      </c>
      <c r="AC27">
        <f>COUNTIF(Planilha2!C:C,Aposentadoria!A27)</f>
        <v>2</v>
      </c>
    </row>
    <row r="28" spans="1:29" hidden="1" x14ac:dyDescent="0.25">
      <c r="A28" s="12" t="s">
        <v>163</v>
      </c>
      <c r="B28" s="6" t="s">
        <v>162</v>
      </c>
      <c r="C28" s="5" t="s">
        <v>64</v>
      </c>
      <c r="D28" s="6" t="s">
        <v>2</v>
      </c>
      <c r="E28" s="7" t="s">
        <v>3</v>
      </c>
      <c r="F28" s="5" t="s">
        <v>50</v>
      </c>
      <c r="G28" s="4" t="s">
        <v>51</v>
      </c>
      <c r="H28" s="7" t="s">
        <v>102</v>
      </c>
      <c r="I28" s="4" t="s">
        <v>178</v>
      </c>
      <c r="J28" s="8" t="s">
        <v>93</v>
      </c>
      <c r="K28" s="3" t="s">
        <v>30</v>
      </c>
      <c r="L28" s="4" t="s">
        <v>9</v>
      </c>
      <c r="M28" s="6" t="s">
        <v>52</v>
      </c>
      <c r="N28" s="7" t="s">
        <v>11</v>
      </c>
      <c r="O28" s="4" t="s">
        <v>12</v>
      </c>
      <c r="P28" s="4" t="s">
        <v>13</v>
      </c>
      <c r="Q28" s="4" t="s">
        <v>14</v>
      </c>
      <c r="R28" s="5" t="s">
        <v>15</v>
      </c>
      <c r="S28" s="4" t="s">
        <v>16</v>
      </c>
      <c r="T28" s="5" t="s">
        <v>17</v>
      </c>
      <c r="U28" s="5" t="s">
        <v>19</v>
      </c>
      <c r="V28" s="6" t="s">
        <v>28</v>
      </c>
      <c r="W28" s="5" t="s">
        <v>72</v>
      </c>
      <c r="X28" s="5" t="s">
        <v>103</v>
      </c>
      <c r="Y28" s="9" t="s">
        <v>73</v>
      </c>
      <c r="Z28" s="10" t="s">
        <v>123</v>
      </c>
      <c r="AA28" s="5" t="s">
        <v>75</v>
      </c>
      <c r="AB28" s="11" t="s">
        <v>78</v>
      </c>
      <c r="AC28">
        <f>COUNTIF(Planilha2!C:C,Aposentadoria!A28)</f>
        <v>2</v>
      </c>
    </row>
    <row r="29" spans="1:29" hidden="1" x14ac:dyDescent="0.25">
      <c r="A29" s="12" t="s">
        <v>165</v>
      </c>
      <c r="B29" s="6" t="s">
        <v>164</v>
      </c>
      <c r="C29" s="5" t="s">
        <v>64</v>
      </c>
      <c r="D29" s="6" t="s">
        <v>2</v>
      </c>
      <c r="E29" s="7" t="s">
        <v>3</v>
      </c>
      <c r="F29" s="5" t="s">
        <v>47</v>
      </c>
      <c r="G29" s="4" t="s">
        <v>46</v>
      </c>
      <c r="H29" s="7" t="s">
        <v>102</v>
      </c>
      <c r="I29" s="4" t="s">
        <v>178</v>
      </c>
      <c r="J29" s="8" t="s">
        <v>93</v>
      </c>
      <c r="K29" s="3" t="s">
        <v>30</v>
      </c>
      <c r="L29" s="4" t="s">
        <v>9</v>
      </c>
      <c r="M29" s="4" t="s">
        <v>48</v>
      </c>
      <c r="N29" s="7" t="s">
        <v>11</v>
      </c>
      <c r="O29" s="4" t="s">
        <v>12</v>
      </c>
      <c r="P29" s="4" t="s">
        <v>13</v>
      </c>
      <c r="Q29" s="4" t="s">
        <v>14</v>
      </c>
      <c r="R29" s="5" t="s">
        <v>15</v>
      </c>
      <c r="S29" s="4" t="s">
        <v>16</v>
      </c>
      <c r="T29" s="5" t="s">
        <v>17</v>
      </c>
      <c r="U29" s="5" t="s">
        <v>19</v>
      </c>
      <c r="V29" s="6" t="s">
        <v>28</v>
      </c>
      <c r="W29" s="5" t="s">
        <v>72</v>
      </c>
      <c r="X29" s="5" t="s">
        <v>103</v>
      </c>
      <c r="Y29" s="9" t="s">
        <v>73</v>
      </c>
      <c r="Z29" s="10" t="s">
        <v>104</v>
      </c>
      <c r="AA29" s="5" t="s">
        <v>75</v>
      </c>
      <c r="AB29" s="11" t="s">
        <v>78</v>
      </c>
      <c r="AC29">
        <f>COUNTIF(Planilha2!C:C,Aposentadoria!A29)</f>
        <v>2</v>
      </c>
    </row>
    <row r="30" spans="1:29" hidden="1" x14ac:dyDescent="0.25">
      <c r="A30" s="12" t="s">
        <v>166</v>
      </c>
      <c r="B30" s="6" t="s">
        <v>167</v>
      </c>
      <c r="C30" s="5" t="s">
        <v>64</v>
      </c>
      <c r="D30" s="6" t="s">
        <v>2</v>
      </c>
      <c r="E30" s="7" t="s">
        <v>3</v>
      </c>
      <c r="F30" s="5" t="s">
        <v>47</v>
      </c>
      <c r="G30" s="4" t="s">
        <v>46</v>
      </c>
      <c r="H30" s="7" t="s">
        <v>102</v>
      </c>
      <c r="I30" s="4" t="s">
        <v>178</v>
      </c>
      <c r="J30" s="8" t="s">
        <v>93</v>
      </c>
      <c r="K30" s="3" t="s">
        <v>30</v>
      </c>
      <c r="L30" s="4" t="s">
        <v>9</v>
      </c>
      <c r="M30" s="4" t="s">
        <v>48</v>
      </c>
      <c r="N30" s="7" t="s">
        <v>11</v>
      </c>
      <c r="O30" s="4" t="s">
        <v>12</v>
      </c>
      <c r="P30" s="4" t="s">
        <v>13</v>
      </c>
      <c r="Q30" s="4" t="s">
        <v>14</v>
      </c>
      <c r="R30" s="5" t="s">
        <v>15</v>
      </c>
      <c r="S30" s="4" t="s">
        <v>16</v>
      </c>
      <c r="T30" s="5" t="s">
        <v>17</v>
      </c>
      <c r="U30" s="5" t="s">
        <v>19</v>
      </c>
      <c r="V30" s="6" t="s">
        <v>28</v>
      </c>
      <c r="W30" s="5" t="s">
        <v>72</v>
      </c>
      <c r="X30" s="5" t="s">
        <v>103</v>
      </c>
      <c r="Y30" s="9" t="s">
        <v>73</v>
      </c>
      <c r="Z30" s="10" t="s">
        <v>104</v>
      </c>
      <c r="AA30" s="5" t="s">
        <v>75</v>
      </c>
      <c r="AB30" s="11" t="s">
        <v>78</v>
      </c>
      <c r="AC30">
        <f>COUNTIF(Planilha2!C:C,Aposentadoria!A30)</f>
        <v>2</v>
      </c>
    </row>
    <row r="31" spans="1:29" hidden="1" x14ac:dyDescent="0.25">
      <c r="A31" s="12" t="s">
        <v>169</v>
      </c>
      <c r="B31" s="6" t="s">
        <v>168</v>
      </c>
      <c r="C31" s="5" t="s">
        <v>64</v>
      </c>
      <c r="D31" s="6" t="s">
        <v>2</v>
      </c>
      <c r="E31" s="7" t="s">
        <v>3</v>
      </c>
      <c r="F31" s="5" t="s">
        <v>47</v>
      </c>
      <c r="G31" s="4" t="s">
        <v>46</v>
      </c>
      <c r="H31" s="7" t="s">
        <v>102</v>
      </c>
      <c r="I31" s="4" t="s">
        <v>178</v>
      </c>
      <c r="J31" s="8" t="s">
        <v>93</v>
      </c>
      <c r="K31" s="3" t="s">
        <v>30</v>
      </c>
      <c r="L31" s="4" t="s">
        <v>9</v>
      </c>
      <c r="M31" s="4" t="s">
        <v>48</v>
      </c>
      <c r="N31" s="7" t="s">
        <v>11</v>
      </c>
      <c r="O31" s="4" t="s">
        <v>12</v>
      </c>
      <c r="P31" s="4" t="s">
        <v>13</v>
      </c>
      <c r="Q31" s="4" t="s">
        <v>14</v>
      </c>
      <c r="R31" s="5" t="s">
        <v>15</v>
      </c>
      <c r="S31" s="4" t="s">
        <v>16</v>
      </c>
      <c r="T31" s="5" t="s">
        <v>17</v>
      </c>
      <c r="U31" s="5" t="s">
        <v>19</v>
      </c>
      <c r="V31" s="6" t="s">
        <v>28</v>
      </c>
      <c r="W31" s="5" t="s">
        <v>72</v>
      </c>
      <c r="X31" s="5" t="s">
        <v>103</v>
      </c>
      <c r="Y31" s="9" t="s">
        <v>73</v>
      </c>
      <c r="Z31" s="10" t="s">
        <v>104</v>
      </c>
      <c r="AA31" s="5" t="s">
        <v>75</v>
      </c>
      <c r="AB31" s="11" t="s">
        <v>78</v>
      </c>
      <c r="AC31">
        <f>COUNTIF(Planilha2!C:C,Aposentadoria!A31)</f>
        <v>2</v>
      </c>
    </row>
    <row r="32" spans="1:29" hidden="1" x14ac:dyDescent="0.25">
      <c r="A32" s="12" t="s">
        <v>171</v>
      </c>
      <c r="B32" s="6" t="s">
        <v>170</v>
      </c>
      <c r="C32" s="5" t="s">
        <v>64</v>
      </c>
      <c r="D32" s="6" t="s">
        <v>2</v>
      </c>
      <c r="E32" s="7" t="s">
        <v>3</v>
      </c>
      <c r="F32" s="5" t="s">
        <v>47</v>
      </c>
      <c r="G32" s="4" t="s">
        <v>46</v>
      </c>
      <c r="H32" s="7" t="s">
        <v>102</v>
      </c>
      <c r="I32" s="4" t="s">
        <v>178</v>
      </c>
      <c r="J32" s="8" t="s">
        <v>93</v>
      </c>
      <c r="K32" s="3" t="s">
        <v>30</v>
      </c>
      <c r="L32" s="4" t="s">
        <v>9</v>
      </c>
      <c r="M32" s="4" t="s">
        <v>48</v>
      </c>
      <c r="N32" s="7" t="s">
        <v>11</v>
      </c>
      <c r="O32" s="4" t="s">
        <v>12</v>
      </c>
      <c r="P32" s="4" t="s">
        <v>13</v>
      </c>
      <c r="Q32" s="4" t="s">
        <v>14</v>
      </c>
      <c r="R32" s="5" t="s">
        <v>15</v>
      </c>
      <c r="S32" s="4" t="s">
        <v>16</v>
      </c>
      <c r="T32" s="5" t="s">
        <v>17</v>
      </c>
      <c r="U32" s="5" t="s">
        <v>19</v>
      </c>
      <c r="V32" s="6" t="s">
        <v>28</v>
      </c>
      <c r="W32" s="5" t="s">
        <v>72</v>
      </c>
      <c r="X32" s="5" t="s">
        <v>103</v>
      </c>
      <c r="Y32" s="9" t="s">
        <v>73</v>
      </c>
      <c r="Z32" s="10" t="s">
        <v>104</v>
      </c>
      <c r="AA32" s="5" t="s">
        <v>75</v>
      </c>
      <c r="AB32" s="11" t="s">
        <v>78</v>
      </c>
      <c r="AC32">
        <f>COUNTIF(Planilha2!C:C,Aposentadoria!A32)</f>
        <v>2</v>
      </c>
    </row>
    <row r="33" spans="1:29" hidden="1" x14ac:dyDescent="0.25">
      <c r="A33" s="12" t="s">
        <v>173</v>
      </c>
      <c r="B33" s="6" t="s">
        <v>172</v>
      </c>
      <c r="C33" s="5" t="s">
        <v>64</v>
      </c>
      <c r="D33" s="6" t="s">
        <v>2</v>
      </c>
      <c r="E33" s="7" t="s">
        <v>3</v>
      </c>
      <c r="F33" s="5" t="s">
        <v>47</v>
      </c>
      <c r="G33" s="4" t="s">
        <v>46</v>
      </c>
      <c r="H33" s="7" t="s">
        <v>102</v>
      </c>
      <c r="I33" s="4" t="s">
        <v>178</v>
      </c>
      <c r="J33" s="8" t="s">
        <v>93</v>
      </c>
      <c r="K33" s="3" t="s">
        <v>30</v>
      </c>
      <c r="L33" s="4" t="s">
        <v>9</v>
      </c>
      <c r="M33" s="4" t="s">
        <v>48</v>
      </c>
      <c r="N33" s="7" t="s">
        <v>11</v>
      </c>
      <c r="O33" s="4" t="s">
        <v>12</v>
      </c>
      <c r="P33" s="4" t="s">
        <v>13</v>
      </c>
      <c r="Q33" s="4" t="s">
        <v>14</v>
      </c>
      <c r="R33" s="5" t="s">
        <v>15</v>
      </c>
      <c r="S33" s="4" t="s">
        <v>16</v>
      </c>
      <c r="T33" s="5" t="s">
        <v>17</v>
      </c>
      <c r="U33" s="5" t="s">
        <v>19</v>
      </c>
      <c r="V33" s="6" t="s">
        <v>28</v>
      </c>
      <c r="W33" s="5" t="s">
        <v>72</v>
      </c>
      <c r="X33" s="5" t="s">
        <v>103</v>
      </c>
      <c r="Y33" s="9" t="s">
        <v>73</v>
      </c>
      <c r="Z33" s="10" t="s">
        <v>104</v>
      </c>
      <c r="AA33" s="5" t="s">
        <v>75</v>
      </c>
      <c r="AB33" s="11" t="s">
        <v>78</v>
      </c>
      <c r="AC33">
        <f>COUNTIF(Planilha2!C:C,Aposentadoria!A33)</f>
        <v>2</v>
      </c>
    </row>
    <row r="34" spans="1:29" hidden="1" x14ac:dyDescent="0.25">
      <c r="A34" s="12" t="s">
        <v>175</v>
      </c>
      <c r="B34" s="6" t="s">
        <v>174</v>
      </c>
      <c r="C34" s="5" t="s">
        <v>64</v>
      </c>
      <c r="D34" s="6" t="s">
        <v>2</v>
      </c>
      <c r="E34" s="7" t="s">
        <v>3</v>
      </c>
      <c r="F34" s="5" t="s">
        <v>47</v>
      </c>
      <c r="G34" s="4" t="s">
        <v>46</v>
      </c>
      <c r="H34" s="7" t="s">
        <v>102</v>
      </c>
      <c r="I34" s="4" t="s">
        <v>178</v>
      </c>
      <c r="J34" s="8" t="s">
        <v>93</v>
      </c>
      <c r="K34" s="3" t="s">
        <v>30</v>
      </c>
      <c r="L34" s="4" t="s">
        <v>9</v>
      </c>
      <c r="M34" s="4" t="s">
        <v>48</v>
      </c>
      <c r="N34" s="7" t="s">
        <v>11</v>
      </c>
      <c r="O34" s="4" t="s">
        <v>12</v>
      </c>
      <c r="P34" s="4" t="s">
        <v>13</v>
      </c>
      <c r="Q34" s="4" t="s">
        <v>14</v>
      </c>
      <c r="R34" s="5" t="s">
        <v>15</v>
      </c>
      <c r="S34" s="4" t="s">
        <v>16</v>
      </c>
      <c r="T34" s="5" t="s">
        <v>17</v>
      </c>
      <c r="U34" s="5" t="s">
        <v>19</v>
      </c>
      <c r="V34" s="6" t="s">
        <v>28</v>
      </c>
      <c r="W34" s="5" t="s">
        <v>72</v>
      </c>
      <c r="X34" s="5" t="s">
        <v>103</v>
      </c>
      <c r="Y34" s="9" t="s">
        <v>73</v>
      </c>
      <c r="Z34" s="10" t="s">
        <v>104</v>
      </c>
      <c r="AA34" s="5" t="s">
        <v>75</v>
      </c>
      <c r="AB34" s="11" t="s">
        <v>78</v>
      </c>
      <c r="AC34">
        <f>COUNTIF(Planilha2!C:C,Aposentadoria!A34)</f>
        <v>2</v>
      </c>
    </row>
    <row r="35" spans="1:29" x14ac:dyDescent="0.25">
      <c r="A35" s="12" t="s">
        <v>177</v>
      </c>
      <c r="B35" s="6" t="s">
        <v>176</v>
      </c>
      <c r="C35" s="5" t="s">
        <v>64</v>
      </c>
      <c r="D35" s="6" t="s">
        <v>2</v>
      </c>
      <c r="E35" s="7" t="s">
        <v>3</v>
      </c>
      <c r="F35" s="5" t="s">
        <v>47</v>
      </c>
      <c r="G35" s="4" t="s">
        <v>46</v>
      </c>
      <c r="H35" s="7" t="s">
        <v>102</v>
      </c>
      <c r="I35" s="4" t="s">
        <v>178</v>
      </c>
      <c r="J35" s="8" t="s">
        <v>93</v>
      </c>
      <c r="K35" s="3" t="s">
        <v>30</v>
      </c>
      <c r="L35" s="4" t="s">
        <v>9</v>
      </c>
      <c r="M35" s="4" t="s">
        <v>48</v>
      </c>
      <c r="N35" s="7" t="s">
        <v>11</v>
      </c>
      <c r="O35" s="4" t="s">
        <v>12</v>
      </c>
      <c r="P35" s="4" t="s">
        <v>13</v>
      </c>
      <c r="Q35" s="4" t="s">
        <v>14</v>
      </c>
      <c r="R35" s="5" t="s">
        <v>15</v>
      </c>
      <c r="S35" s="4" t="s">
        <v>16</v>
      </c>
      <c r="T35" s="5" t="s">
        <v>17</v>
      </c>
      <c r="U35" s="5" t="s">
        <v>19</v>
      </c>
      <c r="V35" s="6" t="s">
        <v>28</v>
      </c>
      <c r="W35" s="5" t="s">
        <v>72</v>
      </c>
      <c r="X35" s="5" t="s">
        <v>103</v>
      </c>
      <c r="Y35" s="9" t="s">
        <v>73</v>
      </c>
      <c r="Z35" s="10" t="s">
        <v>104</v>
      </c>
      <c r="AA35" s="5" t="s">
        <v>75</v>
      </c>
      <c r="AB35" s="11" t="s">
        <v>78</v>
      </c>
      <c r="AC35">
        <f>COUNTIF(Planilha2!C:C,Aposentadoria!A35)</f>
        <v>0</v>
      </c>
    </row>
    <row r="36" spans="1:29" x14ac:dyDescent="0.25">
      <c r="I36" s="24"/>
      <c r="U36" s="23"/>
    </row>
    <row r="37" spans="1:29" x14ac:dyDescent="0.25">
      <c r="I37" s="24"/>
      <c r="U37" s="23"/>
    </row>
    <row r="38" spans="1:29" x14ac:dyDescent="0.25">
      <c r="I38" s="24"/>
      <c r="U38" s="23"/>
    </row>
    <row r="39" spans="1:29" x14ac:dyDescent="0.25">
      <c r="I39" s="24"/>
      <c r="U39" s="23"/>
    </row>
    <row r="40" spans="1:29" x14ac:dyDescent="0.25">
      <c r="I40" s="24"/>
      <c r="U40" s="23"/>
    </row>
    <row r="41" spans="1:29" x14ac:dyDescent="0.25">
      <c r="I41" s="24"/>
      <c r="U41" s="23"/>
    </row>
    <row r="42" spans="1:29" x14ac:dyDescent="0.25">
      <c r="I42" s="24"/>
      <c r="U42" s="23"/>
    </row>
    <row r="43" spans="1:29" x14ac:dyDescent="0.25">
      <c r="I43" s="24"/>
      <c r="U43" s="23"/>
    </row>
    <row r="44" spans="1:29" x14ac:dyDescent="0.25">
      <c r="I44" s="24"/>
      <c r="U44" s="23"/>
    </row>
    <row r="45" spans="1:29" x14ac:dyDescent="0.25">
      <c r="I45" s="24"/>
      <c r="U45" s="23"/>
    </row>
    <row r="46" spans="1:29" x14ac:dyDescent="0.25">
      <c r="I46" s="24"/>
      <c r="U46" s="23"/>
    </row>
    <row r="47" spans="1:29" x14ac:dyDescent="0.25">
      <c r="I47" s="24"/>
      <c r="U47" s="23"/>
    </row>
    <row r="48" spans="1:29" x14ac:dyDescent="0.25">
      <c r="I48" s="24"/>
      <c r="U48" s="23"/>
    </row>
    <row r="49" spans="9:21" x14ac:dyDescent="0.25">
      <c r="I49" s="24"/>
      <c r="U49" s="23"/>
    </row>
    <row r="50" spans="9:21" x14ac:dyDescent="0.25">
      <c r="I50" s="24"/>
      <c r="U50" s="23"/>
    </row>
    <row r="51" spans="9:21" x14ac:dyDescent="0.25">
      <c r="I51" s="24"/>
      <c r="U51" s="23"/>
    </row>
  </sheetData>
  <autoFilter ref="A1:AC35" xr:uid="{00000000-0001-0000-0000-000000000000}">
    <filterColumn colId="28">
      <filters>
        <filter val="0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4E46-775E-47A6-8095-58251BA38D4C}">
  <dimension ref="A1:C22"/>
  <sheetViews>
    <sheetView workbookViewId="0">
      <selection activeCell="H11" sqref="H11"/>
    </sheetView>
  </sheetViews>
  <sheetFormatPr defaultRowHeight="15" x14ac:dyDescent="0.25"/>
  <cols>
    <col min="1" max="1" width="12.28515625" bestFit="1" customWidth="1"/>
    <col min="2" max="2" width="11.5703125" bestFit="1" customWidth="1"/>
  </cols>
  <sheetData>
    <row r="1" spans="1:3" x14ac:dyDescent="0.25">
      <c r="A1" t="s">
        <v>265</v>
      </c>
      <c r="B1" t="s">
        <v>98</v>
      </c>
      <c r="C1" s="26" t="s">
        <v>91</v>
      </c>
    </row>
    <row r="2" spans="1:3" x14ac:dyDescent="0.25">
      <c r="A2" t="s">
        <v>99</v>
      </c>
      <c r="B2" s="5" t="s">
        <v>103</v>
      </c>
      <c r="C2" s="29" t="s">
        <v>118</v>
      </c>
    </row>
    <row r="3" spans="1:3" x14ac:dyDescent="0.25">
      <c r="A3" t="s">
        <v>99</v>
      </c>
      <c r="B3" s="5" t="s">
        <v>103</v>
      </c>
      <c r="C3" s="12" t="s">
        <v>125</v>
      </c>
    </row>
    <row r="4" spans="1:3" x14ac:dyDescent="0.25">
      <c r="A4" t="s">
        <v>99</v>
      </c>
      <c r="B4" s="5" t="s">
        <v>103</v>
      </c>
      <c r="C4" s="12" t="s">
        <v>129</v>
      </c>
    </row>
    <row r="5" spans="1:3" x14ac:dyDescent="0.25">
      <c r="A5" t="s">
        <v>99</v>
      </c>
      <c r="B5" s="5" t="s">
        <v>103</v>
      </c>
      <c r="C5" s="12" t="s">
        <v>135</v>
      </c>
    </row>
    <row r="6" spans="1:3" x14ac:dyDescent="0.25">
      <c r="A6" t="s">
        <v>99</v>
      </c>
      <c r="B6" s="5" t="s">
        <v>103</v>
      </c>
      <c r="C6" s="12" t="s">
        <v>137</v>
      </c>
    </row>
    <row r="7" spans="1:3" x14ac:dyDescent="0.25">
      <c r="A7" t="s">
        <v>99</v>
      </c>
      <c r="B7" s="5" t="s">
        <v>103</v>
      </c>
      <c r="C7" s="12" t="s">
        <v>139</v>
      </c>
    </row>
    <row r="8" spans="1:3" x14ac:dyDescent="0.25">
      <c r="A8" t="s">
        <v>99</v>
      </c>
      <c r="B8" s="5" t="s">
        <v>103</v>
      </c>
      <c r="C8" s="12" t="s">
        <v>141</v>
      </c>
    </row>
    <row r="9" spans="1:3" x14ac:dyDescent="0.25">
      <c r="A9" t="s">
        <v>99</v>
      </c>
      <c r="B9" s="5" t="s">
        <v>103</v>
      </c>
      <c r="C9" s="12" t="s">
        <v>142</v>
      </c>
    </row>
    <row r="10" spans="1:3" x14ac:dyDescent="0.25">
      <c r="A10" t="s">
        <v>99</v>
      </c>
      <c r="B10" s="5" t="s">
        <v>103</v>
      </c>
      <c r="C10" s="12" t="s">
        <v>145</v>
      </c>
    </row>
    <row r="11" spans="1:3" x14ac:dyDescent="0.25">
      <c r="A11" t="s">
        <v>99</v>
      </c>
      <c r="B11" s="5" t="s">
        <v>103</v>
      </c>
      <c r="C11" s="12" t="s">
        <v>149</v>
      </c>
    </row>
    <row r="12" spans="1:3" x14ac:dyDescent="0.25">
      <c r="A12" t="s">
        <v>99</v>
      </c>
      <c r="B12" s="5" t="s">
        <v>103</v>
      </c>
      <c r="C12" s="12" t="s">
        <v>151</v>
      </c>
    </row>
    <row r="13" spans="1:3" x14ac:dyDescent="0.25">
      <c r="A13" t="s">
        <v>99</v>
      </c>
      <c r="B13" s="5" t="s">
        <v>103</v>
      </c>
      <c r="C13" s="12" t="s">
        <v>157</v>
      </c>
    </row>
    <row r="14" spans="1:3" x14ac:dyDescent="0.25">
      <c r="A14" t="s">
        <v>99</v>
      </c>
      <c r="B14" s="5" t="s">
        <v>103</v>
      </c>
      <c r="C14" s="12" t="s">
        <v>159</v>
      </c>
    </row>
    <row r="15" spans="1:3" x14ac:dyDescent="0.25">
      <c r="A15" t="s">
        <v>99</v>
      </c>
      <c r="B15" s="5" t="s">
        <v>103</v>
      </c>
      <c r="C15" s="12" t="s">
        <v>161</v>
      </c>
    </row>
    <row r="16" spans="1:3" x14ac:dyDescent="0.25">
      <c r="A16" t="s">
        <v>99</v>
      </c>
      <c r="B16" s="5" t="s">
        <v>103</v>
      </c>
      <c r="C16" s="12" t="s">
        <v>163</v>
      </c>
    </row>
    <row r="17" spans="1:3" x14ac:dyDescent="0.25">
      <c r="A17" t="s">
        <v>99</v>
      </c>
      <c r="B17" s="5" t="s">
        <v>103</v>
      </c>
      <c r="C17" s="12" t="s">
        <v>165</v>
      </c>
    </row>
    <row r="18" spans="1:3" x14ac:dyDescent="0.25">
      <c r="A18" t="s">
        <v>99</v>
      </c>
      <c r="B18" s="5" t="s">
        <v>103</v>
      </c>
      <c r="C18" s="12" t="s">
        <v>166</v>
      </c>
    </row>
    <row r="19" spans="1:3" x14ac:dyDescent="0.25">
      <c r="A19" t="s">
        <v>99</v>
      </c>
      <c r="B19" s="5" t="s">
        <v>103</v>
      </c>
      <c r="C19" s="12" t="s">
        <v>169</v>
      </c>
    </row>
    <row r="20" spans="1:3" x14ac:dyDescent="0.25">
      <c r="A20" t="s">
        <v>99</v>
      </c>
      <c r="B20" s="5" t="s">
        <v>103</v>
      </c>
      <c r="C20" s="12" t="s">
        <v>171</v>
      </c>
    </row>
    <row r="21" spans="1:3" x14ac:dyDescent="0.25">
      <c r="A21" t="s">
        <v>99</v>
      </c>
      <c r="B21" s="5" t="s">
        <v>103</v>
      </c>
      <c r="C21" s="12" t="s">
        <v>173</v>
      </c>
    </row>
    <row r="22" spans="1:3" x14ac:dyDescent="0.25">
      <c r="A22" t="s">
        <v>99</v>
      </c>
      <c r="B22" s="5" t="s">
        <v>103</v>
      </c>
      <c r="C22" s="12" t="s">
        <v>175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2D62-B50C-4191-B56E-1A8DD826B7E7}">
  <sheetPr filterMode="1"/>
  <dimension ref="A1:I69"/>
  <sheetViews>
    <sheetView topLeftCell="A30" workbookViewId="0">
      <selection sqref="A1:H68"/>
    </sheetView>
  </sheetViews>
  <sheetFormatPr defaultRowHeight="15" x14ac:dyDescent="0.25"/>
  <cols>
    <col min="1" max="1" width="8.85546875" bestFit="1" customWidth="1"/>
    <col min="2" max="2" width="7" bestFit="1" customWidth="1"/>
    <col min="3" max="3" width="7.5703125" bestFit="1" customWidth="1"/>
    <col min="4" max="4" width="3.85546875" bestFit="1" customWidth="1"/>
    <col min="5" max="5" width="6.140625" bestFit="1" customWidth="1"/>
    <col min="6" max="6" width="4.7109375" bestFit="1" customWidth="1"/>
    <col min="7" max="7" width="5" bestFit="1" customWidth="1"/>
    <col min="8" max="8" width="20.42578125" bestFit="1" customWidth="1"/>
  </cols>
  <sheetData>
    <row r="1" spans="1:9" x14ac:dyDescent="0.25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</row>
    <row r="2" spans="1:9" hidden="1" x14ac:dyDescent="0.25">
      <c r="A2" t="s">
        <v>100</v>
      </c>
      <c r="B2">
        <v>121002</v>
      </c>
      <c r="C2" t="s">
        <v>187</v>
      </c>
      <c r="D2" t="s">
        <v>194</v>
      </c>
      <c r="F2">
        <v>1</v>
      </c>
      <c r="G2">
        <v>2025</v>
      </c>
      <c r="H2" t="s">
        <v>102</v>
      </c>
      <c r="I2">
        <f>COUNTIF(Planilha4!A:A,A2)</f>
        <v>0</v>
      </c>
    </row>
    <row r="3" spans="1:9" hidden="1" x14ac:dyDescent="0.25">
      <c r="A3" t="s">
        <v>106</v>
      </c>
      <c r="B3">
        <v>121002</v>
      </c>
      <c r="C3" t="s">
        <v>188</v>
      </c>
      <c r="D3" t="s">
        <v>194</v>
      </c>
      <c r="F3">
        <v>1</v>
      </c>
      <c r="G3">
        <v>2025</v>
      </c>
      <c r="H3" t="s">
        <v>102</v>
      </c>
      <c r="I3">
        <f>COUNTIF(Planilha4!A:A,A3)</f>
        <v>0</v>
      </c>
    </row>
    <row r="4" spans="1:9" hidden="1" x14ac:dyDescent="0.25">
      <c r="A4" t="s">
        <v>109</v>
      </c>
      <c r="B4">
        <v>121002</v>
      </c>
      <c r="C4" t="s">
        <v>188</v>
      </c>
      <c r="D4" t="s">
        <v>194</v>
      </c>
      <c r="F4">
        <v>1</v>
      </c>
      <c r="G4">
        <v>2025</v>
      </c>
      <c r="H4" t="s">
        <v>102</v>
      </c>
      <c r="I4">
        <f>COUNTIF(Planilha4!A:A,A4)</f>
        <v>0</v>
      </c>
    </row>
    <row r="5" spans="1:9" hidden="1" x14ac:dyDescent="0.25">
      <c r="A5" t="s">
        <v>111</v>
      </c>
      <c r="B5">
        <v>121002</v>
      </c>
      <c r="C5" t="s">
        <v>189</v>
      </c>
      <c r="D5" t="s">
        <v>194</v>
      </c>
      <c r="F5">
        <v>1</v>
      </c>
      <c r="G5">
        <v>2025</v>
      </c>
      <c r="H5" t="s">
        <v>102</v>
      </c>
      <c r="I5">
        <f>COUNTIF(Planilha4!A:A,A5)</f>
        <v>0</v>
      </c>
    </row>
    <row r="6" spans="1:9" hidden="1" x14ac:dyDescent="0.25">
      <c r="A6" t="s">
        <v>116</v>
      </c>
      <c r="B6">
        <v>121002</v>
      </c>
      <c r="C6" t="s">
        <v>187</v>
      </c>
      <c r="D6" t="s">
        <v>194</v>
      </c>
      <c r="F6">
        <v>1</v>
      </c>
      <c r="G6">
        <v>2025</v>
      </c>
      <c r="H6" t="s">
        <v>102</v>
      </c>
      <c r="I6">
        <f>COUNTIF(Planilha4!A:A,A6)</f>
        <v>0</v>
      </c>
    </row>
    <row r="7" spans="1:9" x14ac:dyDescent="0.25">
      <c r="A7" t="s">
        <v>118</v>
      </c>
      <c r="B7">
        <v>121002</v>
      </c>
      <c r="C7" t="s">
        <v>190</v>
      </c>
      <c r="D7" t="s">
        <v>194</v>
      </c>
      <c r="F7">
        <v>1</v>
      </c>
      <c r="G7">
        <v>2025</v>
      </c>
      <c r="H7" t="s">
        <v>102</v>
      </c>
      <c r="I7">
        <f>COUNTIF(Planilha4!A:A,A7)</f>
        <v>1</v>
      </c>
    </row>
    <row r="8" spans="1:9" hidden="1" x14ac:dyDescent="0.25">
      <c r="A8" t="s">
        <v>122</v>
      </c>
      <c r="B8">
        <v>121002</v>
      </c>
      <c r="C8" t="s">
        <v>191</v>
      </c>
      <c r="D8" t="s">
        <v>194</v>
      </c>
      <c r="F8">
        <v>1</v>
      </c>
      <c r="G8">
        <v>2025</v>
      </c>
      <c r="H8" t="s">
        <v>102</v>
      </c>
      <c r="I8">
        <f>COUNTIF(Planilha4!A:A,A8)</f>
        <v>0</v>
      </c>
    </row>
    <row r="9" spans="1:9" x14ac:dyDescent="0.25">
      <c r="A9" t="s">
        <v>125</v>
      </c>
      <c r="B9">
        <v>121002</v>
      </c>
      <c r="C9" t="s">
        <v>187</v>
      </c>
      <c r="D9" t="s">
        <v>194</v>
      </c>
      <c r="F9">
        <v>1</v>
      </c>
      <c r="G9">
        <v>2025</v>
      </c>
      <c r="H9" t="s">
        <v>102</v>
      </c>
      <c r="I9">
        <f>COUNTIF(Planilha4!A:A,A9)</f>
        <v>0</v>
      </c>
    </row>
    <row r="10" spans="1:9" hidden="1" x14ac:dyDescent="0.25">
      <c r="A10" t="s">
        <v>127</v>
      </c>
      <c r="B10">
        <v>121002</v>
      </c>
      <c r="C10" t="s">
        <v>187</v>
      </c>
      <c r="D10" t="s">
        <v>194</v>
      </c>
      <c r="F10">
        <v>1</v>
      </c>
      <c r="G10">
        <v>2025</v>
      </c>
      <c r="H10" t="s">
        <v>102</v>
      </c>
      <c r="I10">
        <f>COUNTIF(Planilha4!A:A,A10)</f>
        <v>0</v>
      </c>
    </row>
    <row r="11" spans="1:9" x14ac:dyDescent="0.25">
      <c r="A11" t="s">
        <v>129</v>
      </c>
      <c r="B11">
        <v>121002</v>
      </c>
      <c r="C11" t="s">
        <v>187</v>
      </c>
      <c r="D11" t="s">
        <v>194</v>
      </c>
      <c r="F11">
        <v>1</v>
      </c>
      <c r="G11">
        <v>2025</v>
      </c>
      <c r="H11" t="s">
        <v>102</v>
      </c>
      <c r="I11">
        <f>COUNTIF(Planilha4!A:A,A11)</f>
        <v>0</v>
      </c>
    </row>
    <row r="12" spans="1:9" hidden="1" x14ac:dyDescent="0.25">
      <c r="A12" t="s">
        <v>131</v>
      </c>
      <c r="B12">
        <v>121002</v>
      </c>
      <c r="C12" t="s">
        <v>187</v>
      </c>
      <c r="D12" t="s">
        <v>194</v>
      </c>
      <c r="F12">
        <v>1</v>
      </c>
      <c r="G12">
        <v>2025</v>
      </c>
      <c r="H12" t="s">
        <v>102</v>
      </c>
      <c r="I12">
        <f>COUNTIF(Planilha4!A:A,A12)</f>
        <v>0</v>
      </c>
    </row>
    <row r="13" spans="1:9" hidden="1" x14ac:dyDescent="0.25">
      <c r="A13" t="s">
        <v>132</v>
      </c>
      <c r="B13">
        <v>121002</v>
      </c>
      <c r="C13" t="s">
        <v>187</v>
      </c>
      <c r="D13" t="s">
        <v>194</v>
      </c>
      <c r="F13">
        <v>1</v>
      </c>
      <c r="G13">
        <v>2025</v>
      </c>
      <c r="H13" t="s">
        <v>102</v>
      </c>
      <c r="I13">
        <f>COUNTIF(Planilha4!A:A,A13)</f>
        <v>0</v>
      </c>
    </row>
    <row r="14" spans="1:9" x14ac:dyDescent="0.25">
      <c r="A14" t="s">
        <v>135</v>
      </c>
      <c r="B14">
        <v>121002</v>
      </c>
      <c r="C14" t="s">
        <v>187</v>
      </c>
      <c r="D14" t="s">
        <v>194</v>
      </c>
      <c r="F14">
        <v>1</v>
      </c>
      <c r="G14">
        <v>2025</v>
      </c>
      <c r="H14" t="s">
        <v>102</v>
      </c>
      <c r="I14">
        <f>COUNTIF(Planilha4!A:A,A14)</f>
        <v>0</v>
      </c>
    </row>
    <row r="15" spans="1:9" x14ac:dyDescent="0.25">
      <c r="A15" t="s">
        <v>137</v>
      </c>
      <c r="B15">
        <v>121002</v>
      </c>
      <c r="C15" t="s">
        <v>187</v>
      </c>
      <c r="D15" t="s">
        <v>194</v>
      </c>
      <c r="F15">
        <v>1</v>
      </c>
      <c r="G15">
        <v>2025</v>
      </c>
      <c r="H15" t="s">
        <v>102</v>
      </c>
      <c r="I15">
        <f>COUNTIF(Planilha4!A:A,A15)</f>
        <v>0</v>
      </c>
    </row>
    <row r="16" spans="1:9" x14ac:dyDescent="0.25">
      <c r="A16" t="s">
        <v>139</v>
      </c>
      <c r="B16">
        <v>121002</v>
      </c>
      <c r="C16" t="s">
        <v>187</v>
      </c>
      <c r="D16" t="s">
        <v>194</v>
      </c>
      <c r="F16">
        <v>1</v>
      </c>
      <c r="G16">
        <v>2025</v>
      </c>
      <c r="H16" t="s">
        <v>102</v>
      </c>
      <c r="I16">
        <f>COUNTIF(Planilha4!A:A,A16)</f>
        <v>0</v>
      </c>
    </row>
    <row r="17" spans="1:9" x14ac:dyDescent="0.25">
      <c r="A17" t="s">
        <v>141</v>
      </c>
      <c r="B17">
        <v>121002</v>
      </c>
      <c r="C17" t="s">
        <v>187</v>
      </c>
      <c r="D17" t="s">
        <v>194</v>
      </c>
      <c r="F17">
        <v>1</v>
      </c>
      <c r="G17">
        <v>2025</v>
      </c>
      <c r="H17" t="s">
        <v>102</v>
      </c>
      <c r="I17">
        <f>COUNTIF(Planilha4!A:A,A17)</f>
        <v>0</v>
      </c>
    </row>
    <row r="18" spans="1:9" x14ac:dyDescent="0.25">
      <c r="A18" t="s">
        <v>142</v>
      </c>
      <c r="B18">
        <v>121002</v>
      </c>
      <c r="C18" t="s">
        <v>187</v>
      </c>
      <c r="D18" t="s">
        <v>194</v>
      </c>
      <c r="F18">
        <v>1</v>
      </c>
      <c r="G18">
        <v>2025</v>
      </c>
      <c r="H18" t="s">
        <v>102</v>
      </c>
      <c r="I18">
        <f>COUNTIF(Planilha4!A:A,A18)</f>
        <v>0</v>
      </c>
    </row>
    <row r="19" spans="1:9" x14ac:dyDescent="0.25">
      <c r="A19" t="s">
        <v>145</v>
      </c>
      <c r="B19">
        <v>121002</v>
      </c>
      <c r="C19" t="s">
        <v>187</v>
      </c>
      <c r="D19" t="s">
        <v>194</v>
      </c>
      <c r="F19">
        <v>1</v>
      </c>
      <c r="G19">
        <v>2025</v>
      </c>
      <c r="H19" t="s">
        <v>102</v>
      </c>
      <c r="I19">
        <f>COUNTIF(Planilha4!A:A,A19)</f>
        <v>0</v>
      </c>
    </row>
    <row r="20" spans="1:9" hidden="1" x14ac:dyDescent="0.25">
      <c r="A20" t="s">
        <v>147</v>
      </c>
      <c r="B20">
        <v>121002</v>
      </c>
      <c r="C20" t="s">
        <v>187</v>
      </c>
      <c r="D20" t="s">
        <v>194</v>
      </c>
      <c r="F20">
        <v>1</v>
      </c>
      <c r="G20">
        <v>2025</v>
      </c>
      <c r="H20" t="s">
        <v>102</v>
      </c>
      <c r="I20">
        <f>COUNTIF(Planilha4!A:A,A20)</f>
        <v>0</v>
      </c>
    </row>
    <row r="21" spans="1:9" x14ac:dyDescent="0.25">
      <c r="A21" t="s">
        <v>149</v>
      </c>
      <c r="B21">
        <v>121002</v>
      </c>
      <c r="C21" t="s">
        <v>187</v>
      </c>
      <c r="D21" t="s">
        <v>194</v>
      </c>
      <c r="F21">
        <v>1</v>
      </c>
      <c r="G21">
        <v>2025</v>
      </c>
      <c r="H21" t="s">
        <v>102</v>
      </c>
      <c r="I21">
        <f>COUNTIF(Planilha4!A:A,A21)</f>
        <v>0</v>
      </c>
    </row>
    <row r="22" spans="1:9" x14ac:dyDescent="0.25">
      <c r="A22" t="s">
        <v>151</v>
      </c>
      <c r="B22">
        <v>121002</v>
      </c>
      <c r="C22" t="s">
        <v>187</v>
      </c>
      <c r="D22" t="s">
        <v>194</v>
      </c>
      <c r="F22">
        <v>1</v>
      </c>
      <c r="G22">
        <v>2025</v>
      </c>
      <c r="H22" t="s">
        <v>102</v>
      </c>
      <c r="I22">
        <f>COUNTIF(Planilha4!A:A,A22)</f>
        <v>0</v>
      </c>
    </row>
    <row r="23" spans="1:9" hidden="1" x14ac:dyDescent="0.25">
      <c r="A23" t="s">
        <v>153</v>
      </c>
      <c r="B23">
        <v>121002</v>
      </c>
      <c r="C23" t="s">
        <v>187</v>
      </c>
      <c r="D23" t="s">
        <v>194</v>
      </c>
      <c r="F23">
        <v>1</v>
      </c>
      <c r="G23">
        <v>2025</v>
      </c>
      <c r="H23" t="s">
        <v>102</v>
      </c>
      <c r="I23">
        <f>COUNTIF(Planilha4!A:A,A23)</f>
        <v>0</v>
      </c>
    </row>
    <row r="24" spans="1:9" hidden="1" x14ac:dyDescent="0.25">
      <c r="A24" t="s">
        <v>155</v>
      </c>
      <c r="B24">
        <v>121002</v>
      </c>
      <c r="C24" t="s">
        <v>187</v>
      </c>
      <c r="D24" t="s">
        <v>194</v>
      </c>
      <c r="F24">
        <v>1</v>
      </c>
      <c r="G24">
        <v>2025</v>
      </c>
      <c r="H24" t="s">
        <v>102</v>
      </c>
      <c r="I24">
        <f>COUNTIF(Planilha4!A:A,A24)</f>
        <v>0</v>
      </c>
    </row>
    <row r="25" spans="1:9" x14ac:dyDescent="0.25">
      <c r="A25" t="s">
        <v>157</v>
      </c>
      <c r="B25">
        <v>121002</v>
      </c>
      <c r="C25" t="s">
        <v>187</v>
      </c>
      <c r="D25" t="s">
        <v>194</v>
      </c>
      <c r="F25">
        <v>1</v>
      </c>
      <c r="G25">
        <v>2025</v>
      </c>
      <c r="H25" t="s">
        <v>102</v>
      </c>
      <c r="I25">
        <f>COUNTIF(Planilha4!A:A,A25)</f>
        <v>0</v>
      </c>
    </row>
    <row r="26" spans="1:9" x14ac:dyDescent="0.25">
      <c r="A26" t="s">
        <v>159</v>
      </c>
      <c r="B26">
        <v>121002</v>
      </c>
      <c r="C26" t="s">
        <v>187</v>
      </c>
      <c r="D26" t="s">
        <v>194</v>
      </c>
      <c r="F26">
        <v>1</v>
      </c>
      <c r="G26">
        <v>2025</v>
      </c>
      <c r="H26" t="s">
        <v>102</v>
      </c>
      <c r="I26">
        <f>COUNTIF(Planilha4!A:A,A26)</f>
        <v>0</v>
      </c>
    </row>
    <row r="27" spans="1:9" x14ac:dyDescent="0.25">
      <c r="A27" t="s">
        <v>161</v>
      </c>
      <c r="B27">
        <v>121002</v>
      </c>
      <c r="C27" t="s">
        <v>187</v>
      </c>
      <c r="D27" t="s">
        <v>194</v>
      </c>
      <c r="F27">
        <v>1</v>
      </c>
      <c r="G27">
        <v>2025</v>
      </c>
      <c r="H27" t="s">
        <v>102</v>
      </c>
      <c r="I27">
        <f>COUNTIF(Planilha4!A:A,A27)</f>
        <v>0</v>
      </c>
    </row>
    <row r="28" spans="1:9" x14ac:dyDescent="0.25">
      <c r="A28" t="s">
        <v>163</v>
      </c>
      <c r="B28">
        <v>121002</v>
      </c>
      <c r="C28" t="s">
        <v>191</v>
      </c>
      <c r="D28" t="s">
        <v>194</v>
      </c>
      <c r="F28">
        <v>1</v>
      </c>
      <c r="G28">
        <v>2025</v>
      </c>
      <c r="H28" t="s">
        <v>102</v>
      </c>
      <c r="I28">
        <f>COUNTIF(Planilha4!A:A,A28)</f>
        <v>0</v>
      </c>
    </row>
    <row r="29" spans="1:9" x14ac:dyDescent="0.25">
      <c r="A29" t="s">
        <v>165</v>
      </c>
      <c r="B29">
        <v>121002</v>
      </c>
      <c r="C29" t="s">
        <v>187</v>
      </c>
      <c r="D29" t="s">
        <v>194</v>
      </c>
      <c r="F29">
        <v>1</v>
      </c>
      <c r="G29">
        <v>2025</v>
      </c>
      <c r="H29" t="s">
        <v>102</v>
      </c>
      <c r="I29">
        <f>COUNTIF(Planilha4!A:A,A29)</f>
        <v>0</v>
      </c>
    </row>
    <row r="30" spans="1:9" x14ac:dyDescent="0.25">
      <c r="A30" t="s">
        <v>166</v>
      </c>
      <c r="B30">
        <v>121002</v>
      </c>
      <c r="C30" t="s">
        <v>187</v>
      </c>
      <c r="D30" t="s">
        <v>194</v>
      </c>
      <c r="F30">
        <v>1</v>
      </c>
      <c r="G30">
        <v>2025</v>
      </c>
      <c r="H30" t="s">
        <v>102</v>
      </c>
      <c r="I30">
        <f>COUNTIF(Planilha4!A:A,A30)</f>
        <v>0</v>
      </c>
    </row>
    <row r="31" spans="1:9" x14ac:dyDescent="0.25">
      <c r="A31" t="s">
        <v>169</v>
      </c>
      <c r="B31">
        <v>121002</v>
      </c>
      <c r="C31" t="s">
        <v>187</v>
      </c>
      <c r="D31" t="s">
        <v>194</v>
      </c>
      <c r="F31">
        <v>1</v>
      </c>
      <c r="G31">
        <v>2025</v>
      </c>
      <c r="H31" t="s">
        <v>102</v>
      </c>
      <c r="I31">
        <f>COUNTIF(Planilha4!A:A,A31)</f>
        <v>0</v>
      </c>
    </row>
    <row r="32" spans="1:9" x14ac:dyDescent="0.25">
      <c r="A32" t="s">
        <v>171</v>
      </c>
      <c r="B32">
        <v>121002</v>
      </c>
      <c r="C32" t="s">
        <v>187</v>
      </c>
      <c r="D32" t="s">
        <v>194</v>
      </c>
      <c r="F32">
        <v>1</v>
      </c>
      <c r="G32">
        <v>2025</v>
      </c>
      <c r="H32" t="s">
        <v>102</v>
      </c>
      <c r="I32">
        <f>COUNTIF(Planilha4!A:A,A32)</f>
        <v>1</v>
      </c>
    </row>
    <row r="33" spans="1:9" x14ac:dyDescent="0.25">
      <c r="A33" t="s">
        <v>173</v>
      </c>
      <c r="B33">
        <v>121002</v>
      </c>
      <c r="C33" t="s">
        <v>187</v>
      </c>
      <c r="D33" t="s">
        <v>194</v>
      </c>
      <c r="F33">
        <v>1</v>
      </c>
      <c r="G33">
        <v>2025</v>
      </c>
      <c r="H33" t="s">
        <v>102</v>
      </c>
      <c r="I33">
        <f>COUNTIF(Planilha4!A:A,A33)</f>
        <v>0</v>
      </c>
    </row>
    <row r="34" spans="1:9" x14ac:dyDescent="0.25">
      <c r="A34" t="s">
        <v>175</v>
      </c>
      <c r="B34">
        <v>121002</v>
      </c>
      <c r="C34" t="s">
        <v>187</v>
      </c>
      <c r="D34" t="s">
        <v>194</v>
      </c>
      <c r="F34">
        <v>1</v>
      </c>
      <c r="G34">
        <v>2025</v>
      </c>
      <c r="H34" t="s">
        <v>102</v>
      </c>
      <c r="I34">
        <f>COUNTIF(Planilha4!A:A,A34)</f>
        <v>0</v>
      </c>
    </row>
    <row r="35" spans="1:9" hidden="1" x14ac:dyDescent="0.25">
      <c r="A35" t="s">
        <v>177</v>
      </c>
      <c r="B35">
        <v>121002</v>
      </c>
      <c r="C35" t="s">
        <v>187</v>
      </c>
      <c r="D35" t="s">
        <v>194</v>
      </c>
      <c r="F35">
        <v>1</v>
      </c>
      <c r="G35">
        <v>2025</v>
      </c>
      <c r="H35" t="s">
        <v>102</v>
      </c>
      <c r="I35">
        <f>COUNTIF(Planilha4!A:A,A35)</f>
        <v>0</v>
      </c>
    </row>
    <row r="36" spans="1:9" hidden="1" x14ac:dyDescent="0.25">
      <c r="A36" t="s">
        <v>100</v>
      </c>
      <c r="B36">
        <v>121240</v>
      </c>
      <c r="C36" t="s">
        <v>192</v>
      </c>
      <c r="D36" t="s">
        <v>194</v>
      </c>
      <c r="F36">
        <v>1</v>
      </c>
      <c r="G36">
        <v>2025</v>
      </c>
      <c r="H36" t="s">
        <v>102</v>
      </c>
      <c r="I36">
        <f>COUNTIF(Planilha4!A:A,A36)</f>
        <v>0</v>
      </c>
    </row>
    <row r="37" spans="1:9" hidden="1" x14ac:dyDescent="0.25">
      <c r="A37" t="s">
        <v>106</v>
      </c>
      <c r="B37">
        <v>121240</v>
      </c>
      <c r="C37" t="s">
        <v>192</v>
      </c>
      <c r="D37" t="s">
        <v>194</v>
      </c>
      <c r="F37">
        <v>1</v>
      </c>
      <c r="G37">
        <v>2025</v>
      </c>
      <c r="H37" t="s">
        <v>102</v>
      </c>
      <c r="I37">
        <f>COUNTIF(Planilha4!A:A,A37)</f>
        <v>0</v>
      </c>
    </row>
    <row r="38" spans="1:9" hidden="1" x14ac:dyDescent="0.25">
      <c r="A38" t="s">
        <v>109</v>
      </c>
      <c r="B38">
        <v>121240</v>
      </c>
      <c r="C38" t="s">
        <v>192</v>
      </c>
      <c r="D38" t="s">
        <v>194</v>
      </c>
      <c r="F38">
        <v>1</v>
      </c>
      <c r="G38">
        <v>2025</v>
      </c>
      <c r="H38" t="s">
        <v>102</v>
      </c>
      <c r="I38">
        <f>COUNTIF(Planilha4!A:A,A38)</f>
        <v>0</v>
      </c>
    </row>
    <row r="39" spans="1:9" hidden="1" x14ac:dyDescent="0.25">
      <c r="A39" t="s">
        <v>111</v>
      </c>
      <c r="B39">
        <v>121240</v>
      </c>
      <c r="C39" t="s">
        <v>192</v>
      </c>
      <c r="D39" t="s">
        <v>194</v>
      </c>
      <c r="F39">
        <v>1</v>
      </c>
      <c r="G39">
        <v>2025</v>
      </c>
      <c r="H39" t="s">
        <v>102</v>
      </c>
      <c r="I39">
        <f>COUNTIF(Planilha4!A:A,A39)</f>
        <v>0</v>
      </c>
    </row>
    <row r="40" spans="1:9" hidden="1" x14ac:dyDescent="0.25">
      <c r="A40" t="s">
        <v>116</v>
      </c>
      <c r="B40">
        <v>121240</v>
      </c>
      <c r="C40" t="s">
        <v>192</v>
      </c>
      <c r="D40" t="s">
        <v>194</v>
      </c>
      <c r="F40">
        <v>1</v>
      </c>
      <c r="G40">
        <v>2025</v>
      </c>
      <c r="H40" t="s">
        <v>102</v>
      </c>
      <c r="I40">
        <f>COUNTIF(Planilha4!A:A,A40)</f>
        <v>0</v>
      </c>
    </row>
    <row r="41" spans="1:9" x14ac:dyDescent="0.25">
      <c r="A41" t="s">
        <v>118</v>
      </c>
      <c r="B41">
        <v>121240</v>
      </c>
      <c r="C41" t="s">
        <v>193</v>
      </c>
      <c r="D41" t="s">
        <v>194</v>
      </c>
      <c r="F41">
        <v>1</v>
      </c>
      <c r="G41">
        <v>2025</v>
      </c>
      <c r="H41" t="s">
        <v>102</v>
      </c>
      <c r="I41">
        <f>COUNTIF(Planilha4!A:A,A41)</f>
        <v>1</v>
      </c>
    </row>
    <row r="42" spans="1:9" hidden="1" x14ac:dyDescent="0.25">
      <c r="A42" t="s">
        <v>122</v>
      </c>
      <c r="B42">
        <v>121240</v>
      </c>
      <c r="C42" t="s">
        <v>192</v>
      </c>
      <c r="D42" t="s">
        <v>194</v>
      </c>
      <c r="F42">
        <v>1</v>
      </c>
      <c r="G42">
        <v>2025</v>
      </c>
      <c r="H42" t="s">
        <v>102</v>
      </c>
      <c r="I42">
        <f>COUNTIF(Planilha4!A:A,A42)</f>
        <v>0</v>
      </c>
    </row>
    <row r="43" spans="1:9" x14ac:dyDescent="0.25">
      <c r="A43" t="s">
        <v>125</v>
      </c>
      <c r="B43">
        <v>121240</v>
      </c>
      <c r="C43" t="s">
        <v>192</v>
      </c>
      <c r="D43" t="s">
        <v>194</v>
      </c>
      <c r="F43">
        <v>1</v>
      </c>
      <c r="G43">
        <v>2025</v>
      </c>
      <c r="H43" t="s">
        <v>102</v>
      </c>
      <c r="I43">
        <f>COUNTIF(Planilha4!A:A,A43)</f>
        <v>0</v>
      </c>
    </row>
    <row r="44" spans="1:9" hidden="1" x14ac:dyDescent="0.25">
      <c r="A44" t="s">
        <v>127</v>
      </c>
      <c r="B44">
        <v>121240</v>
      </c>
      <c r="C44" t="s">
        <v>192</v>
      </c>
      <c r="D44" t="s">
        <v>194</v>
      </c>
      <c r="F44">
        <v>1</v>
      </c>
      <c r="G44">
        <v>2025</v>
      </c>
      <c r="H44" t="s">
        <v>102</v>
      </c>
      <c r="I44">
        <f>COUNTIF(Planilha4!A:A,A44)</f>
        <v>0</v>
      </c>
    </row>
    <row r="45" spans="1:9" x14ac:dyDescent="0.25">
      <c r="A45" t="s">
        <v>129</v>
      </c>
      <c r="B45">
        <v>121240</v>
      </c>
      <c r="C45" t="s">
        <v>192</v>
      </c>
      <c r="D45" t="s">
        <v>194</v>
      </c>
      <c r="F45">
        <v>1</v>
      </c>
      <c r="G45">
        <v>2025</v>
      </c>
      <c r="H45" t="s">
        <v>102</v>
      </c>
      <c r="I45">
        <f>COUNTIF(Planilha4!A:A,A45)</f>
        <v>0</v>
      </c>
    </row>
    <row r="46" spans="1:9" hidden="1" x14ac:dyDescent="0.25">
      <c r="A46" t="s">
        <v>131</v>
      </c>
      <c r="B46">
        <v>121240</v>
      </c>
      <c r="C46" t="s">
        <v>192</v>
      </c>
      <c r="D46" t="s">
        <v>194</v>
      </c>
      <c r="F46">
        <v>1</v>
      </c>
      <c r="G46">
        <v>2025</v>
      </c>
      <c r="H46" t="s">
        <v>102</v>
      </c>
      <c r="I46">
        <f>COUNTIF(Planilha4!A:A,A46)</f>
        <v>0</v>
      </c>
    </row>
    <row r="47" spans="1:9" hidden="1" x14ac:dyDescent="0.25">
      <c r="A47" t="s">
        <v>132</v>
      </c>
      <c r="B47">
        <v>121240</v>
      </c>
      <c r="C47" t="s">
        <v>192</v>
      </c>
      <c r="D47" t="s">
        <v>194</v>
      </c>
      <c r="F47">
        <v>1</v>
      </c>
      <c r="G47">
        <v>2025</v>
      </c>
      <c r="H47" t="s">
        <v>102</v>
      </c>
      <c r="I47">
        <f>COUNTIF(Planilha4!A:A,A47)</f>
        <v>0</v>
      </c>
    </row>
    <row r="48" spans="1:9" x14ac:dyDescent="0.25">
      <c r="A48" t="s">
        <v>135</v>
      </c>
      <c r="B48">
        <v>121240</v>
      </c>
      <c r="C48" t="s">
        <v>192</v>
      </c>
      <c r="D48" t="s">
        <v>194</v>
      </c>
      <c r="F48">
        <v>1</v>
      </c>
      <c r="G48">
        <v>2025</v>
      </c>
      <c r="H48" t="s">
        <v>102</v>
      </c>
      <c r="I48">
        <f>COUNTIF(Planilha4!A:A,A48)</f>
        <v>0</v>
      </c>
    </row>
    <row r="49" spans="1:9" x14ac:dyDescent="0.25">
      <c r="A49" t="s">
        <v>137</v>
      </c>
      <c r="B49">
        <v>121240</v>
      </c>
      <c r="C49" t="s">
        <v>192</v>
      </c>
      <c r="D49" t="s">
        <v>194</v>
      </c>
      <c r="F49">
        <v>1</v>
      </c>
      <c r="G49">
        <v>2025</v>
      </c>
      <c r="H49" t="s">
        <v>102</v>
      </c>
      <c r="I49">
        <f>COUNTIF(Planilha4!A:A,A49)</f>
        <v>0</v>
      </c>
    </row>
    <row r="50" spans="1:9" x14ac:dyDescent="0.25">
      <c r="A50" t="s">
        <v>139</v>
      </c>
      <c r="B50">
        <v>121240</v>
      </c>
      <c r="C50" t="s">
        <v>192</v>
      </c>
      <c r="D50" t="s">
        <v>194</v>
      </c>
      <c r="F50">
        <v>1</v>
      </c>
      <c r="G50">
        <v>2025</v>
      </c>
      <c r="H50" t="s">
        <v>102</v>
      </c>
      <c r="I50">
        <f>COUNTIF(Planilha4!A:A,A50)</f>
        <v>0</v>
      </c>
    </row>
    <row r="51" spans="1:9" x14ac:dyDescent="0.25">
      <c r="A51" t="s">
        <v>141</v>
      </c>
      <c r="B51">
        <v>121240</v>
      </c>
      <c r="C51" t="s">
        <v>192</v>
      </c>
      <c r="D51" t="s">
        <v>194</v>
      </c>
      <c r="F51">
        <v>1</v>
      </c>
      <c r="G51">
        <v>2025</v>
      </c>
      <c r="H51" t="s">
        <v>102</v>
      </c>
      <c r="I51">
        <f>COUNTIF(Planilha4!A:A,A51)</f>
        <v>0</v>
      </c>
    </row>
    <row r="52" spans="1:9" x14ac:dyDescent="0.25">
      <c r="A52" t="s">
        <v>142</v>
      </c>
      <c r="B52">
        <v>121240</v>
      </c>
      <c r="C52" t="s">
        <v>192</v>
      </c>
      <c r="D52" t="s">
        <v>194</v>
      </c>
      <c r="F52">
        <v>1</v>
      </c>
      <c r="G52">
        <v>2025</v>
      </c>
      <c r="H52" t="s">
        <v>102</v>
      </c>
      <c r="I52">
        <f>COUNTIF(Planilha4!A:A,A52)</f>
        <v>0</v>
      </c>
    </row>
    <row r="53" spans="1:9" x14ac:dyDescent="0.25">
      <c r="A53" t="s">
        <v>145</v>
      </c>
      <c r="B53">
        <v>121240</v>
      </c>
      <c r="C53" t="s">
        <v>192</v>
      </c>
      <c r="D53" t="s">
        <v>194</v>
      </c>
      <c r="F53">
        <v>1</v>
      </c>
      <c r="G53">
        <v>2025</v>
      </c>
      <c r="H53" t="s">
        <v>102</v>
      </c>
      <c r="I53">
        <f>COUNTIF(Planilha4!A:A,A53)</f>
        <v>0</v>
      </c>
    </row>
    <row r="54" spans="1:9" hidden="1" x14ac:dyDescent="0.25">
      <c r="A54" t="s">
        <v>147</v>
      </c>
      <c r="B54">
        <v>121240</v>
      </c>
      <c r="C54" t="s">
        <v>192</v>
      </c>
      <c r="D54" t="s">
        <v>194</v>
      </c>
      <c r="F54">
        <v>1</v>
      </c>
      <c r="G54">
        <v>2025</v>
      </c>
      <c r="H54" t="s">
        <v>102</v>
      </c>
      <c r="I54">
        <f>COUNTIF(Planilha4!A:A,A54)</f>
        <v>0</v>
      </c>
    </row>
    <row r="55" spans="1:9" x14ac:dyDescent="0.25">
      <c r="A55" t="s">
        <v>149</v>
      </c>
      <c r="B55">
        <v>121240</v>
      </c>
      <c r="C55" t="s">
        <v>192</v>
      </c>
      <c r="D55" t="s">
        <v>194</v>
      </c>
      <c r="F55">
        <v>1</v>
      </c>
      <c r="G55">
        <v>2025</v>
      </c>
      <c r="H55" t="s">
        <v>102</v>
      </c>
      <c r="I55">
        <f>COUNTIF(Planilha4!A:A,A55)</f>
        <v>0</v>
      </c>
    </row>
    <row r="56" spans="1:9" x14ac:dyDescent="0.25">
      <c r="A56" t="s">
        <v>151</v>
      </c>
      <c r="B56">
        <v>121240</v>
      </c>
      <c r="C56" t="s">
        <v>192</v>
      </c>
      <c r="D56" t="s">
        <v>194</v>
      </c>
      <c r="F56">
        <v>1</v>
      </c>
      <c r="G56">
        <v>2025</v>
      </c>
      <c r="H56" t="s">
        <v>102</v>
      </c>
      <c r="I56">
        <f>COUNTIF(Planilha4!A:A,A56)</f>
        <v>0</v>
      </c>
    </row>
    <row r="57" spans="1:9" hidden="1" x14ac:dyDescent="0.25">
      <c r="A57" t="s">
        <v>153</v>
      </c>
      <c r="B57">
        <v>121240</v>
      </c>
      <c r="C57" t="s">
        <v>192</v>
      </c>
      <c r="D57" t="s">
        <v>194</v>
      </c>
      <c r="F57">
        <v>1</v>
      </c>
      <c r="G57">
        <v>2025</v>
      </c>
      <c r="H57" t="s">
        <v>102</v>
      </c>
      <c r="I57">
        <f>COUNTIF(Planilha4!A:A,A57)</f>
        <v>0</v>
      </c>
    </row>
    <row r="58" spans="1:9" hidden="1" x14ac:dyDescent="0.25">
      <c r="A58" t="s">
        <v>155</v>
      </c>
      <c r="B58">
        <v>121240</v>
      </c>
      <c r="C58" t="s">
        <v>192</v>
      </c>
      <c r="D58" t="s">
        <v>194</v>
      </c>
      <c r="F58">
        <v>1</v>
      </c>
      <c r="G58">
        <v>2025</v>
      </c>
      <c r="H58" t="s">
        <v>102</v>
      </c>
      <c r="I58">
        <f>COUNTIF(Planilha4!A:A,A58)</f>
        <v>0</v>
      </c>
    </row>
    <row r="59" spans="1:9" x14ac:dyDescent="0.25">
      <c r="A59" t="s">
        <v>157</v>
      </c>
      <c r="B59">
        <v>121240</v>
      </c>
      <c r="C59" t="s">
        <v>192</v>
      </c>
      <c r="D59" t="s">
        <v>194</v>
      </c>
      <c r="F59">
        <v>1</v>
      </c>
      <c r="G59">
        <v>2025</v>
      </c>
      <c r="H59" t="s">
        <v>102</v>
      </c>
      <c r="I59">
        <f>COUNTIF(Planilha4!A:A,A59)</f>
        <v>0</v>
      </c>
    </row>
    <row r="60" spans="1:9" x14ac:dyDescent="0.25">
      <c r="A60" t="s">
        <v>159</v>
      </c>
      <c r="B60">
        <v>121240</v>
      </c>
      <c r="C60" t="s">
        <v>192</v>
      </c>
      <c r="D60" t="s">
        <v>194</v>
      </c>
      <c r="F60">
        <v>1</v>
      </c>
      <c r="G60">
        <v>2025</v>
      </c>
      <c r="H60" t="s">
        <v>102</v>
      </c>
      <c r="I60">
        <f>COUNTIF(Planilha4!A:A,A60)</f>
        <v>0</v>
      </c>
    </row>
    <row r="61" spans="1:9" x14ac:dyDescent="0.25">
      <c r="A61" t="s">
        <v>161</v>
      </c>
      <c r="B61">
        <v>121240</v>
      </c>
      <c r="C61" t="s">
        <v>192</v>
      </c>
      <c r="D61" t="s">
        <v>194</v>
      </c>
      <c r="F61">
        <v>1</v>
      </c>
      <c r="G61">
        <v>2025</v>
      </c>
      <c r="H61" t="s">
        <v>102</v>
      </c>
      <c r="I61">
        <f>COUNTIF(Planilha4!A:A,A61)</f>
        <v>0</v>
      </c>
    </row>
    <row r="62" spans="1:9" x14ac:dyDescent="0.25">
      <c r="A62" t="s">
        <v>163</v>
      </c>
      <c r="B62">
        <v>121240</v>
      </c>
      <c r="C62" t="s">
        <v>192</v>
      </c>
      <c r="D62" t="s">
        <v>194</v>
      </c>
      <c r="F62">
        <v>1</v>
      </c>
      <c r="G62">
        <v>2025</v>
      </c>
      <c r="H62" t="s">
        <v>102</v>
      </c>
      <c r="I62">
        <f>COUNTIF(Planilha4!A:A,A62)</f>
        <v>0</v>
      </c>
    </row>
    <row r="63" spans="1:9" x14ac:dyDescent="0.25">
      <c r="A63" t="s">
        <v>165</v>
      </c>
      <c r="B63">
        <v>121240</v>
      </c>
      <c r="C63" t="s">
        <v>192</v>
      </c>
      <c r="D63" t="s">
        <v>194</v>
      </c>
      <c r="F63">
        <v>1</v>
      </c>
      <c r="G63">
        <v>2025</v>
      </c>
      <c r="H63" t="s">
        <v>102</v>
      </c>
      <c r="I63">
        <f>COUNTIF(Planilha4!A:A,A63)</f>
        <v>0</v>
      </c>
    </row>
    <row r="64" spans="1:9" x14ac:dyDescent="0.25">
      <c r="A64" t="s">
        <v>166</v>
      </c>
      <c r="B64">
        <v>121240</v>
      </c>
      <c r="C64" t="s">
        <v>192</v>
      </c>
      <c r="D64" t="s">
        <v>194</v>
      </c>
      <c r="F64">
        <v>1</v>
      </c>
      <c r="G64">
        <v>2025</v>
      </c>
      <c r="H64" t="s">
        <v>102</v>
      </c>
      <c r="I64">
        <f>COUNTIF(Planilha4!A:A,A64)</f>
        <v>0</v>
      </c>
    </row>
    <row r="65" spans="1:9" x14ac:dyDescent="0.25">
      <c r="A65" t="s">
        <v>169</v>
      </c>
      <c r="B65">
        <v>121240</v>
      </c>
      <c r="C65" t="s">
        <v>192</v>
      </c>
      <c r="D65" t="s">
        <v>194</v>
      </c>
      <c r="F65">
        <v>1</v>
      </c>
      <c r="G65">
        <v>2025</v>
      </c>
      <c r="H65" t="s">
        <v>102</v>
      </c>
      <c r="I65">
        <f>COUNTIF(Planilha4!A:A,A65)</f>
        <v>0</v>
      </c>
    </row>
    <row r="66" spans="1:9" x14ac:dyDescent="0.25">
      <c r="A66" t="s">
        <v>171</v>
      </c>
      <c r="B66">
        <v>121240</v>
      </c>
      <c r="C66" t="s">
        <v>192</v>
      </c>
      <c r="D66" t="s">
        <v>194</v>
      </c>
      <c r="F66">
        <v>1</v>
      </c>
      <c r="G66">
        <v>2025</v>
      </c>
      <c r="H66" t="s">
        <v>102</v>
      </c>
      <c r="I66">
        <f>COUNTIF(Planilha4!A:A,A66)</f>
        <v>1</v>
      </c>
    </row>
    <row r="67" spans="1:9" x14ac:dyDescent="0.25">
      <c r="A67" t="s">
        <v>173</v>
      </c>
      <c r="B67">
        <v>121240</v>
      </c>
      <c r="C67" t="s">
        <v>192</v>
      </c>
      <c r="D67" t="s">
        <v>194</v>
      </c>
      <c r="F67">
        <v>1</v>
      </c>
      <c r="G67">
        <v>2025</v>
      </c>
      <c r="H67" t="s">
        <v>102</v>
      </c>
      <c r="I67">
        <f>COUNTIF(Planilha4!A:A,A67)</f>
        <v>0</v>
      </c>
    </row>
    <row r="68" spans="1:9" x14ac:dyDescent="0.25">
      <c r="A68" t="s">
        <v>175</v>
      </c>
      <c r="B68">
        <v>121240</v>
      </c>
      <c r="C68" t="s">
        <v>192</v>
      </c>
      <c r="D68" t="s">
        <v>194</v>
      </c>
      <c r="F68">
        <v>1</v>
      </c>
      <c r="G68">
        <v>2025</v>
      </c>
      <c r="H68" t="s">
        <v>102</v>
      </c>
      <c r="I68">
        <f>COUNTIF(Planilha4!A:A,A68)</f>
        <v>0</v>
      </c>
    </row>
    <row r="69" spans="1:9" hidden="1" x14ac:dyDescent="0.25">
      <c r="A69" t="s">
        <v>177</v>
      </c>
      <c r="B69">
        <v>121240</v>
      </c>
      <c r="C69" t="s">
        <v>192</v>
      </c>
      <c r="D69" t="s">
        <v>194</v>
      </c>
      <c r="F69">
        <v>1</v>
      </c>
      <c r="G69">
        <v>2025</v>
      </c>
      <c r="H69" t="s">
        <v>102</v>
      </c>
      <c r="I69">
        <f>COUNTIF(Planilha4!A:A,A69)</f>
        <v>0</v>
      </c>
    </row>
  </sheetData>
  <autoFilter ref="A1:I69" xr:uid="{3DCB2D62-B50C-4191-B56E-1A8DD826B7E7}">
    <filterColumn colId="8">
      <filters>
        <filter val="1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F6E3-059E-4BC1-B881-FFBEED872074}">
  <dimension ref="A1:G46"/>
  <sheetViews>
    <sheetView workbookViewId="0">
      <selection activeCell="G17" sqref="G17"/>
    </sheetView>
  </sheetViews>
  <sheetFormatPr defaultRowHeight="15" x14ac:dyDescent="0.25"/>
  <cols>
    <col min="1" max="1" width="74.85546875" bestFit="1" customWidth="1"/>
    <col min="3" max="3" width="9.140625" style="46"/>
    <col min="6" max="6" width="73.7109375" bestFit="1" customWidth="1"/>
  </cols>
  <sheetData>
    <row r="1" spans="1:7" x14ac:dyDescent="0.25">
      <c r="A1" t="s">
        <v>195</v>
      </c>
      <c r="B1" s="43" t="s">
        <v>241</v>
      </c>
      <c r="C1" s="46" t="s">
        <v>109</v>
      </c>
    </row>
    <row r="2" spans="1:7" x14ac:dyDescent="0.25">
      <c r="A2" t="s">
        <v>196</v>
      </c>
      <c r="B2" s="43" t="s">
        <v>263</v>
      </c>
      <c r="C2" s="46" t="s">
        <v>111</v>
      </c>
      <c r="F2" t="s">
        <v>267</v>
      </c>
      <c r="G2" s="49" t="s">
        <v>118</v>
      </c>
    </row>
    <row r="3" spans="1:7" x14ac:dyDescent="0.25">
      <c r="A3" t="s">
        <v>197</v>
      </c>
      <c r="B3" s="43" t="s">
        <v>242</v>
      </c>
      <c r="C3" s="46" t="s">
        <v>118</v>
      </c>
      <c r="F3" t="s">
        <v>268</v>
      </c>
      <c r="G3" s="46" t="s">
        <v>125</v>
      </c>
    </row>
    <row r="4" spans="1:7" x14ac:dyDescent="0.25">
      <c r="A4" t="s">
        <v>198</v>
      </c>
      <c r="B4" s="43" t="s">
        <v>243</v>
      </c>
      <c r="C4" s="46" t="s">
        <v>125</v>
      </c>
      <c r="F4" t="s">
        <v>269</v>
      </c>
      <c r="G4" s="46" t="s">
        <v>139</v>
      </c>
    </row>
    <row r="5" spans="1:7" x14ac:dyDescent="0.25">
      <c r="A5" t="s">
        <v>199</v>
      </c>
      <c r="B5" s="43" t="s">
        <v>244</v>
      </c>
      <c r="C5" s="46" t="s">
        <v>129</v>
      </c>
      <c r="F5" t="s">
        <v>270</v>
      </c>
      <c r="G5" s="46" t="s">
        <v>151</v>
      </c>
    </row>
    <row r="6" spans="1:7" x14ac:dyDescent="0.25">
      <c r="A6" t="s">
        <v>200</v>
      </c>
      <c r="B6" s="43" t="s">
        <v>245</v>
      </c>
      <c r="C6" s="46" t="s">
        <v>135</v>
      </c>
      <c r="F6" t="s">
        <v>271</v>
      </c>
      <c r="G6" s="46" t="s">
        <v>171</v>
      </c>
    </row>
    <row r="7" spans="1:7" x14ac:dyDescent="0.25">
      <c r="A7" t="s">
        <v>201</v>
      </c>
      <c r="B7" s="43" t="s">
        <v>246</v>
      </c>
      <c r="C7" s="46" t="s">
        <v>137</v>
      </c>
      <c r="F7" t="s">
        <v>272</v>
      </c>
      <c r="G7" s="46" t="s">
        <v>118</v>
      </c>
    </row>
    <row r="8" spans="1:7" x14ac:dyDescent="0.25">
      <c r="A8" t="s">
        <v>202</v>
      </c>
      <c r="B8" s="43" t="s">
        <v>247</v>
      </c>
      <c r="C8" s="46" t="s">
        <v>139</v>
      </c>
      <c r="F8" t="s">
        <v>273</v>
      </c>
      <c r="G8" s="46" t="s">
        <v>125</v>
      </c>
    </row>
    <row r="9" spans="1:7" x14ac:dyDescent="0.25">
      <c r="A9" t="s">
        <v>203</v>
      </c>
      <c r="B9" s="43" t="s">
        <v>248</v>
      </c>
      <c r="C9" s="46" t="s">
        <v>141</v>
      </c>
      <c r="F9" t="s">
        <v>274</v>
      </c>
      <c r="G9" s="46" t="s">
        <v>139</v>
      </c>
    </row>
    <row r="10" spans="1:7" x14ac:dyDescent="0.25">
      <c r="A10" t="s">
        <v>204</v>
      </c>
      <c r="B10" s="43" t="s">
        <v>249</v>
      </c>
      <c r="C10" s="46" t="s">
        <v>142</v>
      </c>
      <c r="F10" t="s">
        <v>275</v>
      </c>
      <c r="G10" s="46" t="s">
        <v>151</v>
      </c>
    </row>
    <row r="11" spans="1:7" x14ac:dyDescent="0.25">
      <c r="A11" t="s">
        <v>205</v>
      </c>
      <c r="B11" s="43" t="s">
        <v>250</v>
      </c>
      <c r="C11" s="46" t="s">
        <v>145</v>
      </c>
      <c r="F11" t="s">
        <v>276</v>
      </c>
      <c r="G11" s="46" t="s">
        <v>171</v>
      </c>
    </row>
    <row r="12" spans="1:7" x14ac:dyDescent="0.25">
      <c r="A12" t="s">
        <v>206</v>
      </c>
      <c r="B12" s="43" t="s">
        <v>251</v>
      </c>
      <c r="C12" s="46" t="s">
        <v>149</v>
      </c>
    </row>
    <row r="13" spans="1:7" x14ac:dyDescent="0.25">
      <c r="A13" t="s">
        <v>207</v>
      </c>
      <c r="B13" s="43" t="s">
        <v>252</v>
      </c>
      <c r="C13" s="46" t="s">
        <v>151</v>
      </c>
    </row>
    <row r="14" spans="1:7" x14ac:dyDescent="0.25">
      <c r="A14" t="s">
        <v>208</v>
      </c>
      <c r="B14" s="43" t="s">
        <v>253</v>
      </c>
      <c r="C14" s="46" t="s">
        <v>157</v>
      </c>
    </row>
    <row r="15" spans="1:7" x14ac:dyDescent="0.25">
      <c r="A15" t="s">
        <v>209</v>
      </c>
      <c r="B15" s="43" t="s">
        <v>254</v>
      </c>
      <c r="C15" s="46" t="s">
        <v>159</v>
      </c>
    </row>
    <row r="16" spans="1:7" x14ac:dyDescent="0.25">
      <c r="A16" t="s">
        <v>210</v>
      </c>
      <c r="B16" s="43" t="s">
        <v>255</v>
      </c>
      <c r="C16" s="46" t="s">
        <v>161</v>
      </c>
    </row>
    <row r="17" spans="1:3" x14ac:dyDescent="0.25">
      <c r="A17" t="s">
        <v>211</v>
      </c>
      <c r="B17" s="43" t="s">
        <v>256</v>
      </c>
      <c r="C17" s="47" t="s">
        <v>163</v>
      </c>
    </row>
    <row r="18" spans="1:3" x14ac:dyDescent="0.25">
      <c r="A18" t="s">
        <v>212</v>
      </c>
      <c r="B18" s="43" t="s">
        <v>257</v>
      </c>
      <c r="C18" s="46" t="s">
        <v>165</v>
      </c>
    </row>
    <row r="19" spans="1:3" x14ac:dyDescent="0.25">
      <c r="A19" t="s">
        <v>213</v>
      </c>
      <c r="B19" s="43" t="s">
        <v>258</v>
      </c>
      <c r="C19" s="46" t="s">
        <v>166</v>
      </c>
    </row>
    <row r="20" spans="1:3" x14ac:dyDescent="0.25">
      <c r="A20" t="s">
        <v>214</v>
      </c>
      <c r="B20" s="43" t="s">
        <v>259</v>
      </c>
      <c r="C20" s="46" t="s">
        <v>169</v>
      </c>
    </row>
    <row r="21" spans="1:3" x14ac:dyDescent="0.25">
      <c r="A21" t="s">
        <v>215</v>
      </c>
      <c r="B21" s="43" t="s">
        <v>260</v>
      </c>
      <c r="C21" s="46" t="s">
        <v>171</v>
      </c>
    </row>
    <row r="22" spans="1:3" x14ac:dyDescent="0.25">
      <c r="A22" t="s">
        <v>216</v>
      </c>
      <c r="B22" s="43" t="s">
        <v>261</v>
      </c>
      <c r="C22" s="46" t="s">
        <v>173</v>
      </c>
    </row>
    <row r="23" spans="1:3" x14ac:dyDescent="0.25">
      <c r="A23" t="s">
        <v>217</v>
      </c>
      <c r="B23" s="43" t="s">
        <v>262</v>
      </c>
      <c r="C23" s="46" t="s">
        <v>175</v>
      </c>
    </row>
    <row r="24" spans="1:3" x14ac:dyDescent="0.25">
      <c r="A24" t="s">
        <v>218</v>
      </c>
      <c r="B24" s="43" t="s">
        <v>241</v>
      </c>
      <c r="C24" s="46" t="s">
        <v>109</v>
      </c>
    </row>
    <row r="25" spans="1:3" x14ac:dyDescent="0.25">
      <c r="A25" t="s">
        <v>219</v>
      </c>
      <c r="B25" s="43" t="s">
        <v>263</v>
      </c>
      <c r="C25" s="46" t="s">
        <v>111</v>
      </c>
    </row>
    <row r="26" spans="1:3" x14ac:dyDescent="0.25">
      <c r="A26" t="s">
        <v>220</v>
      </c>
      <c r="B26" s="43" t="s">
        <v>242</v>
      </c>
      <c r="C26" s="46" t="s">
        <v>118</v>
      </c>
    </row>
    <row r="27" spans="1:3" x14ac:dyDescent="0.25">
      <c r="A27" t="s">
        <v>221</v>
      </c>
      <c r="B27" s="43" t="s">
        <v>243</v>
      </c>
      <c r="C27" s="46" t="s">
        <v>125</v>
      </c>
    </row>
    <row r="28" spans="1:3" x14ac:dyDescent="0.25">
      <c r="A28" t="s">
        <v>222</v>
      </c>
      <c r="B28" s="43" t="s">
        <v>244</v>
      </c>
      <c r="C28" s="46" t="s">
        <v>129</v>
      </c>
    </row>
    <row r="29" spans="1:3" x14ac:dyDescent="0.25">
      <c r="A29" t="s">
        <v>223</v>
      </c>
      <c r="B29" s="43" t="s">
        <v>245</v>
      </c>
      <c r="C29" s="46" t="s">
        <v>135</v>
      </c>
    </row>
    <row r="30" spans="1:3" x14ac:dyDescent="0.25">
      <c r="A30" t="s">
        <v>224</v>
      </c>
      <c r="B30" s="43" t="s">
        <v>246</v>
      </c>
      <c r="C30" s="46" t="s">
        <v>137</v>
      </c>
    </row>
    <row r="31" spans="1:3" x14ac:dyDescent="0.25">
      <c r="A31" t="s">
        <v>225</v>
      </c>
      <c r="B31" s="43" t="s">
        <v>247</v>
      </c>
      <c r="C31" s="46" t="s">
        <v>139</v>
      </c>
    </row>
    <row r="32" spans="1:3" x14ac:dyDescent="0.25">
      <c r="A32" t="s">
        <v>226</v>
      </c>
      <c r="B32" s="43" t="s">
        <v>248</v>
      </c>
      <c r="C32" s="46" t="s">
        <v>141</v>
      </c>
    </row>
    <row r="33" spans="1:3" x14ac:dyDescent="0.25">
      <c r="A33" t="s">
        <v>227</v>
      </c>
      <c r="B33" s="43" t="s">
        <v>249</v>
      </c>
      <c r="C33" s="46" t="s">
        <v>142</v>
      </c>
    </row>
    <row r="34" spans="1:3" x14ac:dyDescent="0.25">
      <c r="A34" t="s">
        <v>228</v>
      </c>
      <c r="B34" s="43" t="s">
        <v>250</v>
      </c>
      <c r="C34" s="46" t="s">
        <v>145</v>
      </c>
    </row>
    <row r="35" spans="1:3" x14ac:dyDescent="0.25">
      <c r="A35" t="s">
        <v>229</v>
      </c>
      <c r="B35" s="43" t="s">
        <v>251</v>
      </c>
      <c r="C35" s="46" t="s">
        <v>149</v>
      </c>
    </row>
    <row r="36" spans="1:3" x14ac:dyDescent="0.25">
      <c r="A36" t="s">
        <v>230</v>
      </c>
      <c r="B36" s="43" t="s">
        <v>252</v>
      </c>
      <c r="C36" s="46" t="s">
        <v>151</v>
      </c>
    </row>
    <row r="37" spans="1:3" x14ac:dyDescent="0.25">
      <c r="A37" t="s">
        <v>231</v>
      </c>
      <c r="B37" s="43" t="s">
        <v>253</v>
      </c>
      <c r="C37" s="46" t="s">
        <v>157</v>
      </c>
    </row>
    <row r="38" spans="1:3" x14ac:dyDescent="0.25">
      <c r="A38" t="s">
        <v>232</v>
      </c>
      <c r="B38" s="43" t="s">
        <v>254</v>
      </c>
      <c r="C38" s="46" t="s">
        <v>159</v>
      </c>
    </row>
    <row r="39" spans="1:3" x14ac:dyDescent="0.25">
      <c r="A39" t="s">
        <v>233</v>
      </c>
      <c r="B39" s="43" t="s">
        <v>255</v>
      </c>
      <c r="C39" s="46" t="s">
        <v>161</v>
      </c>
    </row>
    <row r="40" spans="1:3" x14ac:dyDescent="0.25">
      <c r="A40" t="s">
        <v>234</v>
      </c>
      <c r="B40" s="43" t="s">
        <v>256</v>
      </c>
      <c r="C40" s="47" t="s">
        <v>163</v>
      </c>
    </row>
    <row r="41" spans="1:3" x14ac:dyDescent="0.25">
      <c r="A41" t="s">
        <v>235</v>
      </c>
      <c r="B41" s="43" t="s">
        <v>257</v>
      </c>
      <c r="C41" s="46" t="s">
        <v>165</v>
      </c>
    </row>
    <row r="42" spans="1:3" x14ac:dyDescent="0.25">
      <c r="A42" t="s">
        <v>236</v>
      </c>
      <c r="B42" s="43" t="s">
        <v>258</v>
      </c>
      <c r="C42" s="46" t="s">
        <v>166</v>
      </c>
    </row>
    <row r="43" spans="1:3" x14ac:dyDescent="0.25">
      <c r="A43" t="s">
        <v>237</v>
      </c>
      <c r="B43" s="43" t="s">
        <v>259</v>
      </c>
      <c r="C43" s="46" t="s">
        <v>169</v>
      </c>
    </row>
    <row r="44" spans="1:3" x14ac:dyDescent="0.25">
      <c r="A44" t="s">
        <v>238</v>
      </c>
      <c r="B44" s="43" t="s">
        <v>260</v>
      </c>
      <c r="C44" s="46" t="s">
        <v>171</v>
      </c>
    </row>
    <row r="45" spans="1:3" x14ac:dyDescent="0.25">
      <c r="A45" t="s">
        <v>239</v>
      </c>
      <c r="B45" s="43" t="s">
        <v>261</v>
      </c>
      <c r="C45" s="46" t="s">
        <v>173</v>
      </c>
    </row>
    <row r="46" spans="1:3" x14ac:dyDescent="0.25">
      <c r="A46" t="s">
        <v>240</v>
      </c>
      <c r="B46" s="43" t="s">
        <v>262</v>
      </c>
      <c r="C46" s="46" t="s">
        <v>175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selection activeCell="C1" sqref="C1:C1048576"/>
    </sheetView>
  </sheetViews>
  <sheetFormatPr defaultRowHeight="15" x14ac:dyDescent="0.25"/>
  <cols>
    <col min="2" max="3" width="24.5703125" customWidth="1"/>
    <col min="4" max="4" width="21" bestFit="1" customWidth="1"/>
    <col min="5" max="5" width="8.5703125" bestFit="1" customWidth="1"/>
  </cols>
  <sheetData>
    <row r="1" spans="1:5" x14ac:dyDescent="0.25">
      <c r="A1" t="s">
        <v>0</v>
      </c>
      <c r="B1" s="2" t="s">
        <v>98</v>
      </c>
      <c r="C1" s="2" t="s">
        <v>91</v>
      </c>
      <c r="D1" s="2" t="s">
        <v>96</v>
      </c>
      <c r="E1" s="2" t="s">
        <v>97</v>
      </c>
    </row>
    <row r="2" spans="1:5" x14ac:dyDescent="0.25">
      <c r="A2" t="s">
        <v>99</v>
      </c>
      <c r="B2" s="5" t="s">
        <v>21</v>
      </c>
      <c r="C2" s="12" t="s">
        <v>5</v>
      </c>
      <c r="D2" s="9" t="s">
        <v>73</v>
      </c>
      <c r="E2" s="10" t="s">
        <v>74</v>
      </c>
    </row>
    <row r="3" spans="1:5" x14ac:dyDescent="0.25">
      <c r="A3" t="s">
        <v>99</v>
      </c>
      <c r="B3" s="5" t="s">
        <v>21</v>
      </c>
      <c r="C3" s="12" t="s">
        <v>65</v>
      </c>
      <c r="D3" s="9" t="s">
        <v>73</v>
      </c>
      <c r="E3" s="10" t="s">
        <v>74</v>
      </c>
    </row>
    <row r="4" spans="1:5" x14ac:dyDescent="0.25">
      <c r="A4" t="s">
        <v>99</v>
      </c>
      <c r="B4" s="5" t="s">
        <v>21</v>
      </c>
      <c r="C4" s="12" t="s">
        <v>27</v>
      </c>
      <c r="D4" s="9" t="s">
        <v>73</v>
      </c>
      <c r="E4" s="10" t="s">
        <v>77</v>
      </c>
    </row>
    <row r="5" spans="1:5" x14ac:dyDescent="0.25">
      <c r="A5" t="s">
        <v>99</v>
      </c>
      <c r="B5" s="5" t="s">
        <v>21</v>
      </c>
      <c r="C5" s="12" t="s">
        <v>32</v>
      </c>
      <c r="D5" s="9" t="s">
        <v>73</v>
      </c>
      <c r="E5" s="10" t="s">
        <v>79</v>
      </c>
    </row>
    <row r="6" spans="1:5" x14ac:dyDescent="0.25">
      <c r="A6" t="s">
        <v>99</v>
      </c>
      <c r="B6" s="5" t="s">
        <v>21</v>
      </c>
      <c r="C6" s="12" t="s">
        <v>33</v>
      </c>
      <c r="D6" s="9" t="s">
        <v>73</v>
      </c>
      <c r="E6" s="10" t="s">
        <v>81</v>
      </c>
    </row>
    <row r="7" spans="1:5" x14ac:dyDescent="0.25">
      <c r="A7" t="s">
        <v>99</v>
      </c>
      <c r="B7" s="5" t="s">
        <v>21</v>
      </c>
      <c r="C7" s="13" t="s">
        <v>37</v>
      </c>
      <c r="D7" s="9" t="s">
        <v>73</v>
      </c>
      <c r="E7" s="10" t="s">
        <v>83</v>
      </c>
    </row>
    <row r="8" spans="1:5" x14ac:dyDescent="0.25">
      <c r="A8" t="s">
        <v>99</v>
      </c>
      <c r="B8" s="5" t="s">
        <v>21</v>
      </c>
      <c r="C8" s="12" t="s">
        <v>66</v>
      </c>
      <c r="D8" s="9" t="s">
        <v>73</v>
      </c>
      <c r="E8" s="10" t="s">
        <v>84</v>
      </c>
    </row>
    <row r="9" spans="1:5" x14ac:dyDescent="0.25">
      <c r="A9" t="s">
        <v>99</v>
      </c>
      <c r="B9" s="5" t="s">
        <v>21</v>
      </c>
      <c r="C9" s="12" t="s">
        <v>41</v>
      </c>
      <c r="D9" s="9" t="s">
        <v>73</v>
      </c>
      <c r="E9" s="10" t="s">
        <v>85</v>
      </c>
    </row>
    <row r="10" spans="1:5" x14ac:dyDescent="0.25">
      <c r="A10" t="s">
        <v>99</v>
      </c>
      <c r="B10" s="5" t="s">
        <v>21</v>
      </c>
      <c r="C10" s="12" t="s">
        <v>43</v>
      </c>
      <c r="D10" s="9" t="s">
        <v>73</v>
      </c>
      <c r="E10" s="10" t="s">
        <v>85</v>
      </c>
    </row>
    <row r="11" spans="1:5" x14ac:dyDescent="0.25">
      <c r="A11" t="s">
        <v>99</v>
      </c>
      <c r="B11" s="5" t="s">
        <v>21</v>
      </c>
      <c r="C11" s="12" t="s">
        <v>44</v>
      </c>
      <c r="D11" s="9" t="s">
        <v>73</v>
      </c>
      <c r="E11" s="10" t="s">
        <v>86</v>
      </c>
    </row>
    <row r="12" spans="1:5" x14ac:dyDescent="0.25">
      <c r="A12" t="s">
        <v>99</v>
      </c>
      <c r="B12" s="5" t="s">
        <v>21</v>
      </c>
      <c r="C12" s="12" t="s">
        <v>45</v>
      </c>
      <c r="D12" s="9" t="s">
        <v>73</v>
      </c>
      <c r="E12" s="10" t="s">
        <v>87</v>
      </c>
    </row>
    <row r="13" spans="1:5" x14ac:dyDescent="0.25">
      <c r="A13" t="s">
        <v>99</v>
      </c>
      <c r="B13" s="5" t="s">
        <v>21</v>
      </c>
      <c r="C13" s="12" t="s">
        <v>49</v>
      </c>
      <c r="D13" s="9" t="s">
        <v>73</v>
      </c>
      <c r="E13" s="10" t="s">
        <v>88</v>
      </c>
    </row>
    <row r="14" spans="1:5" x14ac:dyDescent="0.25">
      <c r="A14" t="s">
        <v>99</v>
      </c>
      <c r="B14" s="5" t="s">
        <v>21</v>
      </c>
      <c r="C14" s="12" t="s">
        <v>67</v>
      </c>
      <c r="D14" s="9" t="s">
        <v>73</v>
      </c>
      <c r="E14" s="10" t="s">
        <v>88</v>
      </c>
    </row>
    <row r="15" spans="1:5" x14ac:dyDescent="0.25">
      <c r="A15" t="s">
        <v>99</v>
      </c>
      <c r="B15" s="5" t="s">
        <v>21</v>
      </c>
      <c r="C15" s="12" t="s">
        <v>68</v>
      </c>
      <c r="D15" s="9" t="s">
        <v>73</v>
      </c>
      <c r="E15" s="10" t="s">
        <v>88</v>
      </c>
    </row>
    <row r="16" spans="1:5" x14ac:dyDescent="0.25">
      <c r="A16" t="s">
        <v>99</v>
      </c>
      <c r="B16" s="5" t="s">
        <v>21</v>
      </c>
      <c r="C16" s="12" t="s">
        <v>69</v>
      </c>
      <c r="D16" s="9" t="s">
        <v>73</v>
      </c>
      <c r="E16" s="10" t="s">
        <v>85</v>
      </c>
    </row>
    <row r="17" spans="1:5" x14ac:dyDescent="0.25">
      <c r="A17" t="s">
        <v>99</v>
      </c>
      <c r="B17" s="5" t="s">
        <v>21</v>
      </c>
      <c r="C17" s="12" t="s">
        <v>70</v>
      </c>
      <c r="D17" s="9" t="s">
        <v>73</v>
      </c>
      <c r="E17" s="10" t="s">
        <v>90</v>
      </c>
    </row>
    <row r="18" spans="1:5" x14ac:dyDescent="0.25">
      <c r="A18" t="s">
        <v>99</v>
      </c>
      <c r="B18" s="5" t="s">
        <v>21</v>
      </c>
      <c r="C18" s="12" t="s">
        <v>71</v>
      </c>
      <c r="D18" s="9" t="s">
        <v>73</v>
      </c>
      <c r="E18" s="10" t="s">
        <v>88</v>
      </c>
    </row>
    <row r="19" spans="1:5" x14ac:dyDescent="0.25">
      <c r="A19" t="s">
        <v>99</v>
      </c>
      <c r="B19" s="5" t="s">
        <v>21</v>
      </c>
      <c r="C19" s="12" t="s">
        <v>53</v>
      </c>
      <c r="D19" s="9" t="s">
        <v>73</v>
      </c>
      <c r="E19" s="10" t="s">
        <v>87</v>
      </c>
    </row>
    <row r="20" spans="1:5" x14ac:dyDescent="0.25">
      <c r="A20" t="s">
        <v>99</v>
      </c>
      <c r="B20" s="5" t="s">
        <v>21</v>
      </c>
      <c r="C20" s="12" t="s">
        <v>5</v>
      </c>
      <c r="D20" s="5" t="s">
        <v>75</v>
      </c>
      <c r="E20" s="11" t="s">
        <v>76</v>
      </c>
    </row>
    <row r="21" spans="1:5" x14ac:dyDescent="0.25">
      <c r="A21" t="s">
        <v>99</v>
      </c>
      <c r="B21" s="5" t="s">
        <v>21</v>
      </c>
      <c r="C21" s="12" t="s">
        <v>65</v>
      </c>
      <c r="D21" s="5" t="s">
        <v>75</v>
      </c>
      <c r="E21" s="11" t="s">
        <v>76</v>
      </c>
    </row>
    <row r="22" spans="1:5" x14ac:dyDescent="0.25">
      <c r="A22" t="s">
        <v>99</v>
      </c>
      <c r="B22" s="5" t="s">
        <v>21</v>
      </c>
      <c r="C22" s="12" t="s">
        <v>27</v>
      </c>
      <c r="D22" s="5" t="s">
        <v>75</v>
      </c>
      <c r="E22" s="11" t="s">
        <v>78</v>
      </c>
    </row>
    <row r="23" spans="1:5" x14ac:dyDescent="0.25">
      <c r="A23" t="s">
        <v>99</v>
      </c>
      <c r="B23" s="5" t="s">
        <v>21</v>
      </c>
      <c r="C23" s="12" t="s">
        <v>32</v>
      </c>
      <c r="D23" s="5" t="s">
        <v>75</v>
      </c>
      <c r="E23" s="11" t="s">
        <v>80</v>
      </c>
    </row>
    <row r="24" spans="1:5" x14ac:dyDescent="0.25">
      <c r="A24" t="s">
        <v>99</v>
      </c>
      <c r="B24" s="5" t="s">
        <v>21</v>
      </c>
      <c r="C24" s="12" t="s">
        <v>33</v>
      </c>
      <c r="D24" s="5" t="s">
        <v>75</v>
      </c>
      <c r="E24" s="11" t="s">
        <v>82</v>
      </c>
    </row>
    <row r="25" spans="1:5" x14ac:dyDescent="0.25">
      <c r="A25" t="s">
        <v>99</v>
      </c>
      <c r="B25" s="5" t="s">
        <v>21</v>
      </c>
      <c r="C25" s="13" t="s">
        <v>37</v>
      </c>
      <c r="D25" s="5" t="s">
        <v>75</v>
      </c>
      <c r="E25" s="11" t="s">
        <v>80</v>
      </c>
    </row>
    <row r="26" spans="1:5" x14ac:dyDescent="0.25">
      <c r="A26" t="s">
        <v>99</v>
      </c>
      <c r="B26" s="5" t="s">
        <v>21</v>
      </c>
      <c r="C26" s="12" t="s">
        <v>66</v>
      </c>
      <c r="D26" s="5" t="s">
        <v>75</v>
      </c>
      <c r="E26" s="11" t="s">
        <v>78</v>
      </c>
    </row>
    <row r="27" spans="1:5" x14ac:dyDescent="0.25">
      <c r="A27" t="s">
        <v>99</v>
      </c>
      <c r="B27" s="5" t="s">
        <v>21</v>
      </c>
      <c r="C27" s="12" t="s">
        <v>41</v>
      </c>
      <c r="D27" s="5" t="s">
        <v>75</v>
      </c>
      <c r="E27" s="11" t="s">
        <v>78</v>
      </c>
    </row>
    <row r="28" spans="1:5" x14ac:dyDescent="0.25">
      <c r="A28" t="s">
        <v>99</v>
      </c>
      <c r="B28" s="5" t="s">
        <v>21</v>
      </c>
      <c r="C28" s="12" t="s">
        <v>43</v>
      </c>
      <c r="D28" s="5" t="s">
        <v>75</v>
      </c>
      <c r="E28" s="11" t="s">
        <v>78</v>
      </c>
    </row>
    <row r="29" spans="1:5" x14ac:dyDescent="0.25">
      <c r="A29" t="s">
        <v>99</v>
      </c>
      <c r="B29" s="5" t="s">
        <v>21</v>
      </c>
      <c r="C29" s="12" t="s">
        <v>44</v>
      </c>
      <c r="D29" s="5" t="s">
        <v>75</v>
      </c>
      <c r="E29" s="11" t="s">
        <v>78</v>
      </c>
    </row>
    <row r="30" spans="1:5" x14ac:dyDescent="0.25">
      <c r="A30" t="s">
        <v>99</v>
      </c>
      <c r="B30" s="5" t="s">
        <v>21</v>
      </c>
      <c r="C30" s="12" t="s">
        <v>45</v>
      </c>
      <c r="D30" s="5" t="s">
        <v>75</v>
      </c>
      <c r="E30" s="11" t="s">
        <v>78</v>
      </c>
    </row>
    <row r="31" spans="1:5" x14ac:dyDescent="0.25">
      <c r="A31" t="s">
        <v>99</v>
      </c>
      <c r="B31" s="5" t="s">
        <v>21</v>
      </c>
      <c r="C31" s="12" t="s">
        <v>49</v>
      </c>
      <c r="D31" s="5" t="s">
        <v>75</v>
      </c>
      <c r="E31" s="11" t="s">
        <v>78</v>
      </c>
    </row>
    <row r="32" spans="1:5" x14ac:dyDescent="0.25">
      <c r="A32" t="s">
        <v>99</v>
      </c>
      <c r="B32" s="5" t="s">
        <v>21</v>
      </c>
      <c r="C32" s="12" t="s">
        <v>67</v>
      </c>
      <c r="D32" s="5" t="s">
        <v>75</v>
      </c>
      <c r="E32" s="11" t="s">
        <v>89</v>
      </c>
    </row>
    <row r="33" spans="1:5" x14ac:dyDescent="0.25">
      <c r="A33" t="s">
        <v>99</v>
      </c>
      <c r="B33" s="5" t="s">
        <v>21</v>
      </c>
      <c r="C33" s="12" t="s">
        <v>68</v>
      </c>
      <c r="D33" s="5" t="s">
        <v>75</v>
      </c>
      <c r="E33" s="11" t="s">
        <v>78</v>
      </c>
    </row>
    <row r="34" spans="1:5" x14ac:dyDescent="0.25">
      <c r="A34" t="s">
        <v>99</v>
      </c>
      <c r="B34" s="5" t="s">
        <v>21</v>
      </c>
      <c r="C34" s="12" t="s">
        <v>69</v>
      </c>
      <c r="D34" s="5" t="s">
        <v>75</v>
      </c>
      <c r="E34" s="11" t="s">
        <v>78</v>
      </c>
    </row>
    <row r="35" spans="1:5" x14ac:dyDescent="0.25">
      <c r="A35" t="s">
        <v>99</v>
      </c>
      <c r="B35" s="5" t="s">
        <v>21</v>
      </c>
      <c r="C35" s="12" t="s">
        <v>70</v>
      </c>
      <c r="D35" s="5" t="s">
        <v>75</v>
      </c>
      <c r="E35" s="11" t="s">
        <v>78</v>
      </c>
    </row>
    <row r="36" spans="1:5" x14ac:dyDescent="0.25">
      <c r="A36" t="s">
        <v>99</v>
      </c>
      <c r="B36" s="5" t="s">
        <v>21</v>
      </c>
      <c r="C36" s="12" t="s">
        <v>71</v>
      </c>
      <c r="D36" s="5" t="s">
        <v>75</v>
      </c>
      <c r="E36" s="11" t="s">
        <v>78</v>
      </c>
    </row>
    <row r="37" spans="1:5" x14ac:dyDescent="0.25">
      <c r="A37" t="s">
        <v>99</v>
      </c>
      <c r="B37" s="5" t="s">
        <v>21</v>
      </c>
      <c r="C37" s="12" t="s">
        <v>53</v>
      </c>
      <c r="D37" s="5" t="s">
        <v>75</v>
      </c>
      <c r="E37" s="11" t="s">
        <v>78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Planilha4</vt:lpstr>
      <vt:lpstr>Aposentadoria</vt:lpstr>
      <vt:lpstr>Planilha3</vt:lpstr>
      <vt:lpstr>Planilha1</vt:lpstr>
      <vt:lpstr>Planilha2</vt:lpstr>
      <vt:lpstr>incluir_rub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Tatilla Hellen Quaresma de Araújo</dc:creator>
  <cp:lastModifiedBy>Daniel de Oliveira Gomes</cp:lastModifiedBy>
  <dcterms:created xsi:type="dcterms:W3CDTF">2024-06-18T12:28:35Z</dcterms:created>
  <dcterms:modified xsi:type="dcterms:W3CDTF">2025-01-10T15:40:16Z</dcterms:modified>
</cp:coreProperties>
</file>