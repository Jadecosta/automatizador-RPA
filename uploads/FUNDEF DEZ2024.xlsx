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S_DFPG\Desktop\Projetos_Program\DANIEL\DOCUMENTOS\FOLHA\12.DEZEMBRO\"/>
    </mc:Choice>
  </mc:AlternateContent>
  <xr:revisionPtr revIDLastSave="0" documentId="13_ncr:1_{671C3C42-BD88-4DE9-8E99-2AEFF85289A7}" xr6:coauthVersionLast="47" xr6:coauthVersionMax="47" xr10:uidLastSave="{00000000-0000-0000-0000-000000000000}"/>
  <bookViews>
    <workbookView xWindow="21480" yWindow="-120" windowWidth="29040" windowHeight="15720" xr2:uid="{4C382271-1F76-44D8-9B7C-35A1853262B5}"/>
  </bookViews>
  <sheets>
    <sheet name="Planilha4" sheetId="5" r:id="rId1"/>
    <sheet name="Ingresso" sheetId="3" r:id="rId2"/>
    <sheet name="FALECIDO" sheetId="1" r:id="rId3"/>
    <sheet name="DESLIGADO" sheetId="2" r:id="rId4"/>
    <sheet name="especialidade" sheetId="4" r:id="rId5"/>
  </sheets>
  <externalReferences>
    <externalReference r:id="rId6"/>
    <externalReference r:id="rId7"/>
  </externalReferences>
  <definedNames>
    <definedName name="_xlnm._FilterDatabase" localSheetId="1" hidden="1">Ingresso!$A$1:$AT$34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4" i="3" l="1"/>
  <c r="J21" i="3"/>
  <c r="J16" i="3"/>
  <c r="J12" i="3"/>
  <c r="J28" i="3"/>
  <c r="J26" i="3"/>
  <c r="J8" i="3"/>
  <c r="J4" i="3"/>
  <c r="J5" i="3"/>
  <c r="J6" i="3"/>
  <c r="J7" i="3"/>
  <c r="J10" i="3"/>
  <c r="J11" i="3"/>
  <c r="J13" i="3"/>
  <c r="J14" i="3"/>
  <c r="J15" i="3"/>
  <c r="J17" i="3"/>
  <c r="J19" i="3"/>
  <c r="J20" i="3"/>
  <c r="J22" i="3"/>
  <c r="J23" i="3"/>
  <c r="J24" i="3"/>
  <c r="J27" i="3"/>
  <c r="J29" i="3"/>
  <c r="J30" i="3"/>
  <c r="J31" i="3"/>
  <c r="J32" i="3"/>
  <c r="J33" i="3"/>
  <c r="J2" i="3"/>
  <c r="I23" i="2" l="1"/>
  <c r="J23" i="2"/>
  <c r="K23" i="2"/>
  <c r="K34" i="1"/>
  <c r="J34" i="1"/>
  <c r="I34" i="1"/>
</calcChain>
</file>

<file path=xl/sharedStrings.xml><?xml version="1.0" encoding="utf-8"?>
<sst xmlns="http://schemas.openxmlformats.org/spreadsheetml/2006/main" count="2578" uniqueCount="787">
  <si>
    <t>FUNDEF/DEZEMBRO 2024</t>
  </si>
  <si>
    <t xml:space="preserve">1.ª, 2ª e 3ª PARCELAS </t>
  </si>
  <si>
    <t>SERVIDORES - FALECIDOS</t>
  </si>
  <si>
    <t>ORDEM</t>
  </si>
  <si>
    <t>MATRICULA</t>
  </si>
  <si>
    <t>DATA NASCIMENTO</t>
  </si>
  <si>
    <t>NOME</t>
  </si>
  <si>
    <t>CPF</t>
  </si>
  <si>
    <t>MÃE</t>
  </si>
  <si>
    <t>CARGO</t>
  </si>
  <si>
    <t>VALOR 1.ª PARCELA</t>
  </si>
  <si>
    <t>VALOR 2.ª PARCELA</t>
  </si>
  <si>
    <t>VALOR 3.ª PARCELA</t>
  </si>
  <si>
    <t>NOME DO REPRESENTANTE</t>
  </si>
  <si>
    <t>SEXO</t>
  </si>
  <si>
    <t>MUNICIPIO</t>
  </si>
  <si>
    <t xml:space="preserve">CPF </t>
  </si>
  <si>
    <t>TELEFONE</t>
  </si>
  <si>
    <t>PIS</t>
  </si>
  <si>
    <t>ANO PIS</t>
  </si>
  <si>
    <t>BANCO</t>
  </si>
  <si>
    <t>TIPO CONTA</t>
  </si>
  <si>
    <t>AGENCIA</t>
  </si>
  <si>
    <t>DIGITO AGENCIA</t>
  </si>
  <si>
    <t>CONTA</t>
  </si>
  <si>
    <t>DIGITO CONTA</t>
  </si>
  <si>
    <t>107896-8</t>
  </si>
  <si>
    <t>Sem Pagamentos</t>
  </si>
  <si>
    <t>12/07/1966</t>
  </si>
  <si>
    <t>ADRIANA MARIA FARIAS DE CARVALHO</t>
  </si>
  <si>
    <t>373.761.103-30</t>
  </si>
  <si>
    <t>JUSTINA MARIA FARIAS DE CARVALHO</t>
  </si>
  <si>
    <t>PROF SL</t>
  </si>
  <si>
    <t>LUIZ FRANCISCO VALADARES FILHO</t>
  </si>
  <si>
    <t>M</t>
  </si>
  <si>
    <t>23/09/1964</t>
  </si>
  <si>
    <t>TERESIna</t>
  </si>
  <si>
    <t>(86) 9490-0041</t>
  </si>
  <si>
    <t>12517649067</t>
  </si>
  <si>
    <t>1991</t>
  </si>
  <si>
    <t>BANCO DO BRASIL</t>
  </si>
  <si>
    <t>CORRENTE</t>
  </si>
  <si>
    <t>SANTANDER</t>
  </si>
  <si>
    <t>061187-5</t>
  </si>
  <si>
    <t>16/02/1953</t>
  </si>
  <si>
    <t>ANA GLAUCIA DANTAS</t>
  </si>
  <si>
    <t>006.559.913-60</t>
  </si>
  <si>
    <t>JOSEFA CLAUDINO DANTAS</t>
  </si>
  <si>
    <t>PROF C</t>
  </si>
  <si>
    <t>MARYSTELLA DANTAS MAGALHÃES</t>
  </si>
  <si>
    <t>F</t>
  </si>
  <si>
    <t>15/05/1984</t>
  </si>
  <si>
    <t>Teresina-PI</t>
  </si>
  <si>
    <t>(88) 9927-01280</t>
  </si>
  <si>
    <t>119.83253.14-0</t>
  </si>
  <si>
    <t>2007</t>
  </si>
  <si>
    <t>CEF</t>
  </si>
  <si>
    <t>POUPANÇA</t>
  </si>
  <si>
    <t>0029</t>
  </si>
  <si>
    <t>00015818</t>
  </si>
  <si>
    <t>062912-0</t>
  </si>
  <si>
    <t>04/06/1949</t>
  </si>
  <si>
    <t>ANEZIA GUEDES MONTEIRO</t>
  </si>
  <si>
    <t>240.075.013-00</t>
  </si>
  <si>
    <t>HERCILIA MORAIS DOS SANTOS MOTA</t>
  </si>
  <si>
    <t>PROF A</t>
  </si>
  <si>
    <t xml:space="preserve">virgilio do rego monteiro </t>
  </si>
  <si>
    <t>01/09/1970</t>
  </si>
  <si>
    <t>regeneração- piauí</t>
  </si>
  <si>
    <t>296.365.583-53</t>
  </si>
  <si>
    <t>(86) 9849-9600</t>
  </si>
  <si>
    <t>18000316051</t>
  </si>
  <si>
    <t>1986</t>
  </si>
  <si>
    <t>25697</t>
  </si>
  <si>
    <t>064216-9</t>
  </si>
  <si>
    <t>24/10/1934</t>
  </si>
  <si>
    <t>ANTONIO PEREIRA DO NASCIMENTO</t>
  </si>
  <si>
    <t>286.657.243-20</t>
  </si>
  <si>
    <t>MATILDES ALVES DO NASCIMENTO</t>
  </si>
  <si>
    <t>ANTONIO PEREIRA DO NASCIMENTO JUNIOR</t>
  </si>
  <si>
    <t>24/02/1964</t>
  </si>
  <si>
    <t>TERESINA</t>
  </si>
  <si>
    <t>(86) 9998-19564</t>
  </si>
  <si>
    <t>10236482391</t>
  </si>
  <si>
    <t>1973</t>
  </si>
  <si>
    <t xml:space="preserve">BANCO DO BRASIL </t>
  </si>
  <si>
    <t>732173</t>
  </si>
  <si>
    <t>059596-9</t>
  </si>
  <si>
    <t>ANTONIO MENDES FRASAO NETO</t>
  </si>
  <si>
    <t>286.718.053-87</t>
  </si>
  <si>
    <t>IRACEMA MOREIRA MENDES DOS REAIS</t>
  </si>
  <si>
    <t>FROF E I</t>
  </si>
  <si>
    <t>NATALIA SARAIVA E SILVA FRASAO</t>
  </si>
  <si>
    <t>011.028.813-09</t>
  </si>
  <si>
    <t>86-99473-7761</t>
  </si>
  <si>
    <t>2004</t>
  </si>
  <si>
    <t>777520791</t>
  </si>
  <si>
    <t>075664-4</t>
  </si>
  <si>
    <t>20/05/1960</t>
  </si>
  <si>
    <t>FRANCISCA VILMA FERNANDES CAMPOS</t>
  </si>
  <si>
    <t>005.720.383-05</t>
  </si>
  <si>
    <t>VIRGILIA FERNANDES DA SILVA</t>
  </si>
  <si>
    <t>PROF B VI</t>
  </si>
  <si>
    <t>romulo campos camara</t>
  </si>
  <si>
    <t>06/12/1983</t>
  </si>
  <si>
    <t>castelo do piauí</t>
  </si>
  <si>
    <t>(86) 9953-47086</t>
  </si>
  <si>
    <t>12696724484</t>
  </si>
  <si>
    <t/>
  </si>
  <si>
    <t xml:space="preserve"> 000783869032</t>
  </si>
  <si>
    <t>063317-8</t>
  </si>
  <si>
    <t>04/10/1939</t>
  </si>
  <si>
    <t>IARA CAVALCANTE DO NASCIMENTO</t>
  </si>
  <si>
    <t>FRANCISCA ALMERINDA ATALIBA CAVALCANTE</t>
  </si>
  <si>
    <t>17020804894</t>
  </si>
  <si>
    <t>1983</t>
  </si>
  <si>
    <t>052220-1</t>
  </si>
  <si>
    <t>27/06/1962</t>
  </si>
  <si>
    <t>IDA FRANCISCA DE OLIVEIRA</t>
  </si>
  <si>
    <t>996.055.973-49</t>
  </si>
  <si>
    <t>JOANA MARIA DE OLIVEIRA</t>
  </si>
  <si>
    <t>rômulo oliveira paz</t>
  </si>
  <si>
    <t>10/08/1983</t>
  </si>
  <si>
    <t>campo maior-pi</t>
  </si>
  <si>
    <t>(86) 9438-1264</t>
  </si>
  <si>
    <t>20924751937</t>
  </si>
  <si>
    <t>2024</t>
  </si>
  <si>
    <t>2413</t>
  </si>
  <si>
    <t>000364</t>
  </si>
  <si>
    <t>056770-1</t>
  </si>
  <si>
    <t>14/08/1948</t>
  </si>
  <si>
    <t>JOANA DE SOUSA LIMA</t>
  </si>
  <si>
    <t>131.472.503-34</t>
  </si>
  <si>
    <t>ANA GONCALVES LIMA</t>
  </si>
  <si>
    <t>PROF B</t>
  </si>
  <si>
    <t>DOMINGOS ALVES LIMA</t>
  </si>
  <si>
    <t>21/01/1954</t>
  </si>
  <si>
    <t>PEDRO II - PIAUÍ</t>
  </si>
  <si>
    <t>(86) 9940-93446</t>
  </si>
  <si>
    <t>12031136951</t>
  </si>
  <si>
    <t>1981</t>
  </si>
  <si>
    <t>5911</t>
  </si>
  <si>
    <t>083388-6</t>
  </si>
  <si>
    <t>06/09/1969</t>
  </si>
  <si>
    <t>JOANA LAUDECI DE ARAUJO SILVA CRUZ CARVALHO</t>
  </si>
  <si>
    <t>770.247.453-04</t>
  </si>
  <si>
    <t>AURORA ARAUJO DOS SANTOS</t>
  </si>
  <si>
    <t>PROF B III</t>
  </si>
  <si>
    <t>antonio cARLOS cruz carvalho</t>
  </si>
  <si>
    <t>17/07/1976</t>
  </si>
  <si>
    <t>PIRIPIRI-PI</t>
  </si>
  <si>
    <t>(86) 9995-25745</t>
  </si>
  <si>
    <t>18221131097</t>
  </si>
  <si>
    <t>2010</t>
  </si>
  <si>
    <t>0129</t>
  </si>
  <si>
    <t>46890</t>
  </si>
  <si>
    <t>057743-0</t>
  </si>
  <si>
    <t>27/06/1937</t>
  </si>
  <si>
    <t>MARIA ADELINA DO VALE OLIVEIRA</t>
  </si>
  <si>
    <t>052.762.873-87</t>
  </si>
  <si>
    <t>MARIA CLOTILDE DA SILVA</t>
  </si>
  <si>
    <t xml:space="preserve">PROFESSOR A </t>
  </si>
  <si>
    <t>MANUEL DE OLIVEIRA FILHO</t>
  </si>
  <si>
    <t>24/01/1935</t>
  </si>
  <si>
    <t>PORTO-PI</t>
  </si>
  <si>
    <t>(86) 9817-80340</t>
  </si>
  <si>
    <t>55955</t>
  </si>
  <si>
    <t>1996</t>
  </si>
  <si>
    <t>22534</t>
  </si>
  <si>
    <t>080516-5</t>
  </si>
  <si>
    <t>07/05/1959</t>
  </si>
  <si>
    <t>MARIA DALVINA TORRES DOS SANTOS</t>
  </si>
  <si>
    <t>992.739.693-72</t>
  </si>
  <si>
    <t>FRANCISCA DAS CHAGAS CARDOSO TORRES</t>
  </si>
  <si>
    <t>PROF E III</t>
  </si>
  <si>
    <t>REJANE TORRES DOS SANTOS</t>
  </si>
  <si>
    <t>27/03/1983</t>
  </si>
  <si>
    <t xml:space="preserve">Parnaíba </t>
  </si>
  <si>
    <t>(98) 9846-56598</t>
  </si>
  <si>
    <t>19046444875</t>
  </si>
  <si>
    <t>2021</t>
  </si>
  <si>
    <t>0030</t>
  </si>
  <si>
    <t>000969932938</t>
  </si>
  <si>
    <t>063511-1</t>
  </si>
  <si>
    <t>21/01/1957</t>
  </si>
  <si>
    <t>MARIA DAS DORES ALVES DE ARAUJO</t>
  </si>
  <si>
    <t>026.686.233-08</t>
  </si>
  <si>
    <t>MARIA JOSE ARAUJO</t>
  </si>
  <si>
    <t>RICARDO ARAUJO OLIVEIRA</t>
  </si>
  <si>
    <t>11/09/1989</t>
  </si>
  <si>
    <t>(86) 9883-29029</t>
  </si>
  <si>
    <t>16550608458</t>
  </si>
  <si>
    <t>2006</t>
  </si>
  <si>
    <t>51443</t>
  </si>
  <si>
    <t>059254-4</t>
  </si>
  <si>
    <t>26/09/1940</t>
  </si>
  <si>
    <t>MARIA DAS DORES PEREIRA DA SILVA</t>
  </si>
  <si>
    <t>041.517.623-96</t>
  </si>
  <si>
    <t>MARIA DO ROSARIO FERRAZ DA SILVA</t>
  </si>
  <si>
    <t>PROF. B-VII</t>
  </si>
  <si>
    <t>MARIA DO ROSARIO PEREIRA DA SILVA</t>
  </si>
  <si>
    <t>18/09/1960</t>
  </si>
  <si>
    <t xml:space="preserve">Teresina </t>
  </si>
  <si>
    <t>(86) 9468-7576</t>
  </si>
  <si>
    <t>270.20710.06-4</t>
  </si>
  <si>
    <t>0044</t>
  </si>
  <si>
    <t>126459</t>
  </si>
  <si>
    <t>069644-7</t>
  </si>
  <si>
    <t>30/10/1949</t>
  </si>
  <si>
    <t>MARIA DE NAZARE DA SILVA OLIVEIRA SOUSA</t>
  </si>
  <si>
    <t>240.258.103-44</t>
  </si>
  <si>
    <t>CARLOTA PEREIRA DA SILVA</t>
  </si>
  <si>
    <t>PROF A III</t>
  </si>
  <si>
    <t>lindiane oliveira de sousa</t>
  </si>
  <si>
    <t>06/07/1974</t>
  </si>
  <si>
    <t>teresina ´piaui</t>
  </si>
  <si>
    <t>839.217.613-87</t>
  </si>
  <si>
    <t>(86) 9884-64903</t>
  </si>
  <si>
    <t>12523173435</t>
  </si>
  <si>
    <t>0855</t>
  </si>
  <si>
    <t>56814</t>
  </si>
  <si>
    <t>047912-8</t>
  </si>
  <si>
    <t>19/06/1931</t>
  </si>
  <si>
    <t>MARIA DO SOCORRO DE MORAES</t>
  </si>
  <si>
    <t>200.459.563-91</t>
  </si>
  <si>
    <t>RAIMUNDA ALVES DE MORAES</t>
  </si>
  <si>
    <t>ROSI NEIVE BATISTA DE MORAES</t>
  </si>
  <si>
    <t>24/06/1953</t>
  </si>
  <si>
    <t>parnaíba</t>
  </si>
  <si>
    <t>(86) 9946-32057</t>
  </si>
  <si>
    <t>10105660776</t>
  </si>
  <si>
    <t>00010147</t>
  </si>
  <si>
    <t>050684-2</t>
  </si>
  <si>
    <t>30/12/1956</t>
  </si>
  <si>
    <t>MARIA RENELDA ARAUJO TEIXEIRA</t>
  </si>
  <si>
    <t>828.920.593-72</t>
  </si>
  <si>
    <t>DUCILIA SIZINA DE ARAUJO</t>
  </si>
  <si>
    <t>PROF. E-VIII</t>
  </si>
  <si>
    <t>JACQUILENE ARAUJO TEIXEIRA</t>
  </si>
  <si>
    <t>02/03/1979</t>
  </si>
  <si>
    <t>ARARIPINA/PE</t>
  </si>
  <si>
    <t>(81) 9978-15320</t>
  </si>
  <si>
    <t>127.20919.48-0</t>
  </si>
  <si>
    <t>0749</t>
  </si>
  <si>
    <t>000593722747</t>
  </si>
  <si>
    <t>049834-3</t>
  </si>
  <si>
    <t>23/02/1946</t>
  </si>
  <si>
    <t>MARIA VALMIRA LIMA LOPES</t>
  </si>
  <si>
    <t>013.941.563-75</t>
  </si>
  <si>
    <t>TERESA RODRIGUES LIMA</t>
  </si>
  <si>
    <t>MANOEL LOPES FILHO</t>
  </si>
  <si>
    <t>22/08/1985</t>
  </si>
  <si>
    <t>(86) 9890-59021</t>
  </si>
  <si>
    <t>20052241518</t>
  </si>
  <si>
    <t>0106</t>
  </si>
  <si>
    <t>37868</t>
  </si>
  <si>
    <t>063611-8</t>
  </si>
  <si>
    <t>29/10/1945</t>
  </si>
  <si>
    <t>NARCISA MARIA DAS MERCES MENESES</t>
  </si>
  <si>
    <t>520.881.703-91</t>
  </si>
  <si>
    <t>LUIZA ROSA DA SILVA</t>
  </si>
  <si>
    <t>PROF E IV</t>
  </si>
  <si>
    <t>JOSÉ SARAIVA DE MENEZES JÚNIOR</t>
  </si>
  <si>
    <t>20/05/1974</t>
  </si>
  <si>
    <t>teresina-PIAUÍ</t>
  </si>
  <si>
    <t>(86) 9407-4229</t>
  </si>
  <si>
    <t>12781961487</t>
  </si>
  <si>
    <t>4404</t>
  </si>
  <si>
    <t>15906</t>
  </si>
  <si>
    <t>051091-2</t>
  </si>
  <si>
    <t>23/05/1957</t>
  </si>
  <si>
    <t>RAIMUNDA LINA DE OLIVEIRA</t>
  </si>
  <si>
    <t>159.495.243-49</t>
  </si>
  <si>
    <t>FRANCISCA LINA DE JESUS OLIVEIRA</t>
  </si>
  <si>
    <t xml:space="preserve">ANTONIA LINA DE OLIVEIRA </t>
  </si>
  <si>
    <t>15/06/1961</t>
  </si>
  <si>
    <t>ESPERANTINA</t>
  </si>
  <si>
    <t>536.664.103-91</t>
  </si>
  <si>
    <t>(86) 9995-85711</t>
  </si>
  <si>
    <t>20361396494</t>
  </si>
  <si>
    <t>00312333</t>
  </si>
  <si>
    <t>076566-0</t>
  </si>
  <si>
    <t>01/01/1951</t>
  </si>
  <si>
    <t>RAIMUNDA NONATA PEREIRA DA SILVA</t>
  </si>
  <si>
    <t>013.815.063-05</t>
  </si>
  <si>
    <t>MARIA FERREIRA DA SILVA</t>
  </si>
  <si>
    <t>JEFFERSON SANDERSON SILVA</t>
  </si>
  <si>
    <t>24/12/1986</t>
  </si>
  <si>
    <t>(81) 9955-82298</t>
  </si>
  <si>
    <t>13662693193</t>
  </si>
  <si>
    <t>3389</t>
  </si>
  <si>
    <t>000581453479</t>
  </si>
  <si>
    <t>054773-5</t>
  </si>
  <si>
    <t>23/05/1949</t>
  </si>
  <si>
    <t>RITA DE CASSIA CARMO NEGREIRO</t>
  </si>
  <si>
    <t>160.512.893-72</t>
  </si>
  <si>
    <t>AMELIA PEREIRA DO CARMO</t>
  </si>
  <si>
    <t>PROFESSOR B</t>
  </si>
  <si>
    <t>ROBERTO DE CARVALHO NEGREIROS</t>
  </si>
  <si>
    <t>06/10/1955</t>
  </si>
  <si>
    <t xml:space="preserve">BARÃO DE GRAJAU </t>
  </si>
  <si>
    <t>(89) 9427-3033</t>
  </si>
  <si>
    <t>11155639086</t>
  </si>
  <si>
    <t>1984</t>
  </si>
  <si>
    <t>0096</t>
  </si>
  <si>
    <t>806430</t>
  </si>
  <si>
    <t>X</t>
  </si>
  <si>
    <t>0052</t>
  </si>
  <si>
    <t>BANPARÁ'</t>
  </si>
  <si>
    <t>1999</t>
  </si>
  <si>
    <t>12646794489</t>
  </si>
  <si>
    <t>PI</t>
  </si>
  <si>
    <t>02/06/2000</t>
  </si>
  <si>
    <t>SSP</t>
  </si>
  <si>
    <t>1634647</t>
  </si>
  <si>
    <t>Npjr30@gmail.com</t>
  </si>
  <si>
    <t>PA</t>
  </si>
  <si>
    <t xml:space="preserve">Ananindeua </t>
  </si>
  <si>
    <t>Centro</t>
  </si>
  <si>
    <t>67030-764</t>
  </si>
  <si>
    <t>Residencial Antônio Danúbio 1800 casa 199</t>
  </si>
  <si>
    <t xml:space="preserve">Leide Ponte de Sousa </t>
  </si>
  <si>
    <t xml:space="preserve">Raimundo José de Sousa </t>
  </si>
  <si>
    <t>(91) 9130-1313</t>
  </si>
  <si>
    <t>SOLTEIRO</t>
  </si>
  <si>
    <t>Matias olimpio</t>
  </si>
  <si>
    <t>PROF E</t>
  </si>
  <si>
    <t>LEIDE PONTE DE SOUSA</t>
  </si>
  <si>
    <t>853.119.443-15</t>
  </si>
  <si>
    <t>OSWALDO MACHADO DA PONTE NETTO</t>
  </si>
  <si>
    <t>07/03/1980</t>
  </si>
  <si>
    <t>Sem Pagamento</t>
  </si>
  <si>
    <t>136220-8</t>
  </si>
  <si>
    <t>2000</t>
  </si>
  <si>
    <t>19002293812</t>
  </si>
  <si>
    <t>são josé dopeixe</t>
  </si>
  <si>
    <t>22/08/2024</t>
  </si>
  <si>
    <t>70218307349</t>
  </si>
  <si>
    <t>noemecostadapaixao@gmail.com</t>
  </si>
  <si>
    <t>são josé do peixe</t>
  </si>
  <si>
    <t>centro</t>
  </si>
  <si>
    <t>64555-000</t>
  </si>
  <si>
    <t>rua joão soares da silva, 746</t>
  </si>
  <si>
    <t>martiniana costa sá paixão</t>
  </si>
  <si>
    <t>joaquim vicente borges da paixão</t>
  </si>
  <si>
    <t>(89) 9433-4677</t>
  </si>
  <si>
    <t>DIVORCIADO</t>
  </si>
  <si>
    <t>FLORIANO</t>
  </si>
  <si>
    <t>PROF.CL.E-SUBSTITUTO</t>
  </si>
  <si>
    <t>MARTINIANA COSTA SA PAIXAO</t>
  </si>
  <si>
    <t>702.183.073-49</t>
  </si>
  <si>
    <t>NOEME COSTA DA PAIXAO</t>
  </si>
  <si>
    <t>06/06/1972</t>
  </si>
  <si>
    <t>100472-7</t>
  </si>
  <si>
    <t>19024956636</t>
  </si>
  <si>
    <t>Padre marcos</t>
  </si>
  <si>
    <t>08/01/2015</t>
  </si>
  <si>
    <t>2223412</t>
  </si>
  <si>
    <t>gonzagafilho5@gmail.com</t>
  </si>
  <si>
    <t>Francisco macedo pi</t>
  </si>
  <si>
    <t>64683-000</t>
  </si>
  <si>
    <t>Rua julio Antao de alencar</t>
  </si>
  <si>
    <t>Martina maria de carvalho</t>
  </si>
  <si>
    <t xml:space="preserve">Luiz Gonzaga lopes </t>
  </si>
  <si>
    <t>(89) 9417-0417</t>
  </si>
  <si>
    <t xml:space="preserve">Padre marcos </t>
  </si>
  <si>
    <t>PROF.CL.A-SUBSTITUTO</t>
  </si>
  <si>
    <t>MARTINA MARIA DE CARVALHO</t>
  </si>
  <si>
    <t>011.740.993-64</t>
  </si>
  <si>
    <t>LUIZ GONZAGA LOPES FILHO</t>
  </si>
  <si>
    <t>23/09/1986</t>
  </si>
  <si>
    <t>172026-X</t>
  </si>
  <si>
    <t>0252</t>
  </si>
  <si>
    <t>12645317482</t>
  </si>
  <si>
    <t>01/07/2024</t>
  </si>
  <si>
    <t>39664961353</t>
  </si>
  <si>
    <t>jusiro6@bol.com.br</t>
  </si>
  <si>
    <t>buriti dos lopes</t>
  </si>
  <si>
    <t>64230-000</t>
  </si>
  <si>
    <t>rua euclides de miranda,364</t>
  </si>
  <si>
    <t>maria da conceição silva chaves</t>
  </si>
  <si>
    <t>francisco rodrigues chaves</t>
  </si>
  <si>
    <t>(86) 8183-8517</t>
  </si>
  <si>
    <t>Esperantina/pi</t>
  </si>
  <si>
    <t>MARIA DA CONCEICAO SILVA CHAVES</t>
  </si>
  <si>
    <t>396.649.613-53</t>
  </si>
  <si>
    <t>JURANDIR DA SILVA RODRIGUES</t>
  </si>
  <si>
    <t>06/06/1971</t>
  </si>
  <si>
    <t>098827-8</t>
  </si>
  <si>
    <t>1997</t>
  </si>
  <si>
    <t>12602228488</t>
  </si>
  <si>
    <t xml:space="preserve">Campo maior </t>
  </si>
  <si>
    <t>20/01/2023</t>
  </si>
  <si>
    <t>62348485320</t>
  </si>
  <si>
    <t>soaresednamaria@gmail.com</t>
  </si>
  <si>
    <t xml:space="preserve">Buriti dos Montes </t>
  </si>
  <si>
    <t>64345-000</t>
  </si>
  <si>
    <t xml:space="preserve">Rua Antonio Bispo </t>
  </si>
  <si>
    <t xml:space="preserve">Francisca Araújo de Abreu </t>
  </si>
  <si>
    <t xml:space="preserve">Humberto  Pereira de Abreu </t>
  </si>
  <si>
    <t>(86) 810-4438?3</t>
  </si>
  <si>
    <t>FRANCISCA ARAUJO DE ABREU</t>
  </si>
  <si>
    <t>623.484.853-20</t>
  </si>
  <si>
    <t>JULIO CESAR ARAUJO DE ABREU</t>
  </si>
  <si>
    <t>166907-9</t>
  </si>
  <si>
    <t>2005</t>
  </si>
  <si>
    <t>19016730497</t>
  </si>
  <si>
    <t>teresina</t>
  </si>
  <si>
    <t>30/11/2020</t>
  </si>
  <si>
    <t>369533</t>
  </si>
  <si>
    <t>josebarbosachavesfilho@gmail.com</t>
  </si>
  <si>
    <t>mocambinho</t>
  </si>
  <si>
    <t>64000-390</t>
  </si>
  <si>
    <t>mocambinho iii, quadra 08, casa 11, setor e</t>
  </si>
  <si>
    <t>maria de jesus e silva</t>
  </si>
  <si>
    <t>josé barbosa chaves</t>
  </si>
  <si>
    <t>(86) 8833-0126</t>
  </si>
  <si>
    <t>VIÚVO</t>
  </si>
  <si>
    <t>Teresina</t>
  </si>
  <si>
    <t>MARIA DE JESUS E SILVA</t>
  </si>
  <si>
    <t>152.103.593-87</t>
  </si>
  <si>
    <t>JOSE BARBOSA CHAVES FILHO</t>
  </si>
  <si>
    <t>25/03/1960</t>
  </si>
  <si>
    <t>166167-1</t>
  </si>
  <si>
    <t>5793</t>
  </si>
  <si>
    <t>BRADESCO</t>
  </si>
  <si>
    <t>1998</t>
  </si>
  <si>
    <t>19004716508</t>
  </si>
  <si>
    <t>redenção do gurgueia</t>
  </si>
  <si>
    <t>17/05/2021</t>
  </si>
  <si>
    <t>8376274</t>
  </si>
  <si>
    <t>franciscanetaarnaldodesousa80@gmail.com</t>
  </si>
  <si>
    <t xml:space="preserve">REDENÇÃO DO GURGUEIA </t>
  </si>
  <si>
    <t>CENTRO</t>
  </si>
  <si>
    <t>64915-000</t>
  </si>
  <si>
    <t>RUA GETULIO VARGAS N-070</t>
  </si>
  <si>
    <t xml:space="preserve">ANTONIA ARNALDO DE SOUSA </t>
  </si>
  <si>
    <t xml:space="preserve">NELSON MARTINS DE SOUSA </t>
  </si>
  <si>
    <t>(89) 9813-19637</t>
  </si>
  <si>
    <t>REDENÇÃO DO GURGUEIA -PI</t>
  </si>
  <si>
    <t>ANTONIA ARNALDO DE SOUSA DE SOUSA</t>
  </si>
  <si>
    <t>347.603.263-91</t>
  </si>
  <si>
    <t>FRANCISCA NETA ARNALDO DE SOUSA</t>
  </si>
  <si>
    <t>10/03/1963</t>
  </si>
  <si>
    <t>175382-7</t>
  </si>
  <si>
    <t>ANTONIA ALNALDO DE SOUSA</t>
  </si>
  <si>
    <t>106169-X</t>
  </si>
  <si>
    <t>17060059022</t>
  </si>
  <si>
    <t>VÁRZEA GRANDE</t>
  </si>
  <si>
    <t>27/06/2017</t>
  </si>
  <si>
    <t>4621749</t>
  </si>
  <si>
    <t>fabymedeirosborges@gmail.com</t>
  </si>
  <si>
    <t>tanque do piaui-pi</t>
  </si>
  <si>
    <t>ZONA RURAL</t>
  </si>
  <si>
    <t>64512-000</t>
  </si>
  <si>
    <t>rua projetada arraial</t>
  </si>
  <si>
    <t>maria de fatima medeiros nunes</t>
  </si>
  <si>
    <t>francisco xavier nunes</t>
  </si>
  <si>
    <t>(89) 8805-2928</t>
  </si>
  <si>
    <t>CASADO</t>
  </si>
  <si>
    <t>oeiras-pi</t>
  </si>
  <si>
    <t>MARIA DE FATIMA MEDEIROS NUNES</t>
  </si>
  <si>
    <t>781.376.673-34</t>
  </si>
  <si>
    <t>FABIANA MEDEIROS NUNES</t>
  </si>
  <si>
    <t>10/03/1977</t>
  </si>
  <si>
    <t>173147-5</t>
  </si>
  <si>
    <t>159317-0</t>
  </si>
  <si>
    <t>BOLSISTA</t>
  </si>
  <si>
    <t>100922-2</t>
  </si>
  <si>
    <t>DIGITO AG</t>
  </si>
  <si>
    <t>TIPO DE CONTA</t>
  </si>
  <si>
    <t>ANO</t>
  </si>
  <si>
    <t xml:space="preserve">UF </t>
  </si>
  <si>
    <t>MUNICIPIO IDENTIDADE</t>
  </si>
  <si>
    <t>DATA EXP</t>
  </si>
  <si>
    <t>ORGÃO</t>
  </si>
  <si>
    <t>IDENTIDADE</t>
  </si>
  <si>
    <t>EMAIL</t>
  </si>
  <si>
    <t>ESTADO</t>
  </si>
  <si>
    <t>BAIRRO</t>
  </si>
  <si>
    <t>CEP</t>
  </si>
  <si>
    <t>ENDEREÇO</t>
  </si>
  <si>
    <t>NOME MÃE</t>
  </si>
  <si>
    <t>NOME PAI</t>
  </si>
  <si>
    <t>ESTADO CIVIL</t>
  </si>
  <si>
    <t>NASCIMENTO</t>
  </si>
  <si>
    <t>VALOR  2.ª PARCELA</t>
  </si>
  <si>
    <t>SERVIDORES - DESLIGADOS</t>
  </si>
  <si>
    <t>ORD</t>
  </si>
  <si>
    <t>SIGLA_ORGAO</t>
  </si>
  <si>
    <t>NACIONALIDADE</t>
  </si>
  <si>
    <t>DATA_NASCIMENTO</t>
  </si>
  <si>
    <t>MAE</t>
  </si>
  <si>
    <t>RACA/COR</t>
  </si>
  <si>
    <t>DEFICIENCIA</t>
  </si>
  <si>
    <t>LOGRADOURO</t>
  </si>
  <si>
    <t>UF</t>
  </si>
  <si>
    <t>PAIS</t>
  </si>
  <si>
    <t>Data_Inicio_Endereço</t>
  </si>
  <si>
    <t>ESTADO_CIVIL</t>
  </si>
  <si>
    <t>Data_Inicio_Estado_civil</t>
  </si>
  <si>
    <t>DIG AGENCIA</t>
  </si>
  <si>
    <t>CONTA_CORRENTE</t>
  </si>
  <si>
    <t>Data_Inicio_BANCO</t>
  </si>
  <si>
    <t>DATA_ADMISSAO</t>
  </si>
  <si>
    <t>DATA_POSSE</t>
  </si>
  <si>
    <t>DATA_EXERCICIO</t>
  </si>
  <si>
    <t>ESPECIALIDADE</t>
  </si>
  <si>
    <t>Esp. Verificar</t>
  </si>
  <si>
    <t>REGIME</t>
  </si>
  <si>
    <t>DIVISAO</t>
  </si>
  <si>
    <t>CATEGORIA</t>
  </si>
  <si>
    <t>TIPO</t>
  </si>
  <si>
    <t>SITUACAO</t>
  </si>
  <si>
    <t>LOTACAO</t>
  </si>
  <si>
    <t>JORNADA DE TRABALHO</t>
  </si>
  <si>
    <t>OBSERVACAO</t>
  </si>
  <si>
    <t>MATRICULA FALECIDO</t>
  </si>
  <si>
    <t>MATRICULA DESLIGADO</t>
  </si>
  <si>
    <t>MATRICULA NOVA</t>
  </si>
  <si>
    <t>RUBRICA 1</t>
  </si>
  <si>
    <t>valor 1</t>
  </si>
  <si>
    <t>RUBRICA 2</t>
  </si>
  <si>
    <t>valor 2</t>
  </si>
  <si>
    <t>RUBRICA 3</t>
  </si>
  <si>
    <t>valor 3</t>
  </si>
  <si>
    <t>FOLHA</t>
  </si>
  <si>
    <t>1</t>
  </si>
  <si>
    <t>seduc_precatorio</t>
  </si>
  <si>
    <t>Brasileiro(a)</t>
  </si>
  <si>
    <t>NAO INFORMADO</t>
  </si>
  <si>
    <t>Não Informado</t>
  </si>
  <si>
    <t>Sem Deficiência</t>
  </si>
  <si>
    <t>Brasil</t>
  </si>
  <si>
    <t>Outros</t>
  </si>
  <si>
    <t>001 - Banco do Brasil S.A.</t>
  </si>
  <si>
    <t>2</t>
  </si>
  <si>
    <t>Precatório</t>
  </si>
  <si>
    <t xml:space="preserve">Outros </t>
  </si>
  <si>
    <t>Ativo</t>
  </si>
  <si>
    <t>Efetivado</t>
  </si>
  <si>
    <t>SEM</t>
  </si>
  <si>
    <t>120</t>
  </si>
  <si>
    <t>114902</t>
  </si>
  <si>
    <t>114904</t>
  </si>
  <si>
    <t>114906</t>
  </si>
  <si>
    <t>12/2024-102</t>
  </si>
  <si>
    <t>00011.080590/2024-01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</si>
  <si>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</si>
  <si>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</si>
  <si>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</si>
  <si>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</si>
  <si>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</si>
  <si>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</si>
  <si>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</si>
  <si>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</si>
  <si>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</si>
  <si>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</si>
  <si>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</si>
  <si>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</si>
  <si>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</si>
  <si>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</si>
  <si>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</si>
  <si>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</si>
  <si>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</si>
  <si>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</si>
  <si>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</si>
  <si>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</si>
  <si>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12/2024-101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</si>
  <si>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</si>
  <si>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</si>
  <si>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</si>
  <si>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</si>
  <si>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</si>
  <si>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</si>
  <si>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</si>
  <si>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</si>
  <si>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</si>
  <si>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</si>
  <si>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</si>
  <si>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MASCULINO</t>
  </si>
  <si>
    <t>FEMININO</t>
  </si>
  <si>
    <t>Nome</t>
  </si>
  <si>
    <t>ID</t>
  </si>
  <si>
    <t>CBO</t>
  </si>
  <si>
    <t>104 - Caixa Econômica Federal</t>
  </si>
  <si>
    <t>ADM.ESC.CLAS.E</t>
  </si>
  <si>
    <t>–</t>
  </si>
  <si>
    <t>033 - Banco Santander (Brasil) S.A.</t>
  </si>
  <si>
    <t>B0LSISTA</t>
  </si>
  <si>
    <t>237 - Banco Bradesco S.A.</t>
  </si>
  <si>
    <t>070 - BRB - Banco de Brasília S.A.</t>
  </si>
  <si>
    <t>ORIENT.EDUC.CLAS.F</t>
  </si>
  <si>
    <t>PROF A I</t>
  </si>
  <si>
    <t>PROF A II</t>
  </si>
  <si>
    <t>PROF A IV</t>
  </si>
  <si>
    <t>PROF A V</t>
  </si>
  <si>
    <t>PROF A VI</t>
  </si>
  <si>
    <t>PROF A/ SUBST.</t>
  </si>
  <si>
    <t>PROF B II</t>
  </si>
  <si>
    <t>PROF B IV</t>
  </si>
  <si>
    <t>PROF B V</t>
  </si>
  <si>
    <t>PROF C I</t>
  </si>
  <si>
    <t>PROF C III</t>
  </si>
  <si>
    <t>PROF C IV</t>
  </si>
  <si>
    <t>PROF E I</t>
  </si>
  <si>
    <t>PROF E II</t>
  </si>
  <si>
    <t>PROF E V</t>
  </si>
  <si>
    <t>PROF E VI</t>
  </si>
  <si>
    <t>PROF F</t>
  </si>
  <si>
    <t>PROF F I</t>
  </si>
  <si>
    <t>PROF F II</t>
  </si>
  <si>
    <t>PROF F III</t>
  </si>
  <si>
    <t>PROF F IV</t>
  </si>
  <si>
    <t>PROF F V</t>
  </si>
  <si>
    <t>PROF F VI</t>
  </si>
  <si>
    <t>PROF G</t>
  </si>
  <si>
    <t>PROF LEIGO</t>
  </si>
  <si>
    <t>PROF NAO LICENCIADO</t>
  </si>
  <si>
    <t>PROF NÃO LICENCIADO</t>
  </si>
  <si>
    <t>PROF SE</t>
  </si>
  <si>
    <t>PROF. A-VII</t>
  </si>
  <si>
    <t>PROF. A-VIII</t>
  </si>
  <si>
    <t>PROF. B-VIII</t>
  </si>
  <si>
    <t>PROF. C-VII</t>
  </si>
  <si>
    <t>PROF. C-VIII</t>
  </si>
  <si>
    <t>PROF. E</t>
  </si>
  <si>
    <t>PROF. E-VII</t>
  </si>
  <si>
    <t>PROF. F-VII</t>
  </si>
  <si>
    <t>PROF. F-VIII</t>
  </si>
  <si>
    <t>PROF. G-II</t>
  </si>
  <si>
    <t>PROF. G-III</t>
  </si>
  <si>
    <t>PROF. G-IV</t>
  </si>
  <si>
    <t>PROF. G-V</t>
  </si>
  <si>
    <t>PROF. SL</t>
  </si>
  <si>
    <t>PROF.NAO LICENCIADO</t>
  </si>
  <si>
    <t>PROFESSOR</t>
  </si>
  <si>
    <t>PROFESSOR A</t>
  </si>
  <si>
    <t>PROFESSOR A - I</t>
  </si>
  <si>
    <t>PROFESSOR A - V</t>
  </si>
  <si>
    <t>PROFESSOR A 40</t>
  </si>
  <si>
    <t>PROFESSOR B - IV</t>
  </si>
  <si>
    <t>PROFESSOR B - VI</t>
  </si>
  <si>
    <t>PROFESSOR B - VII</t>
  </si>
  <si>
    <t>PROFESSOR E</t>
  </si>
  <si>
    <t>PROFESSOR F</t>
  </si>
  <si>
    <t>PROFESSOR SE</t>
  </si>
  <si>
    <t>PROFESSOR SE - IV</t>
  </si>
  <si>
    <t>PROFESSOR SE - VIII</t>
  </si>
  <si>
    <t>PROFESSOR SL</t>
  </si>
  <si>
    <t>PROFESSOR SL - I</t>
  </si>
  <si>
    <t>PROFESSOR SL - II</t>
  </si>
  <si>
    <t>PROFESSOR SL - III</t>
  </si>
  <si>
    <t>PROFESSOR SL - IV</t>
  </si>
  <si>
    <t>PROFESSOR SL - V</t>
  </si>
  <si>
    <t>PROFESSOR SL - VIII</t>
  </si>
  <si>
    <t>SUPERV.ENS.CLAS.E</t>
  </si>
  <si>
    <t>SUPERV.ENS.CLAS.F</t>
  </si>
  <si>
    <t xml:space="preserve"> PROF.CLASS-B N-IV</t>
  </si>
  <si>
    <t>ORIENT.EDUC.CLAS.E</t>
  </si>
  <si>
    <t>037 - Banco do Estado do Pará S.A.</t>
  </si>
  <si>
    <t>1.583,40</t>
  </si>
  <si>
    <t>1.181,70</t>
  </si>
  <si>
    <t>1.318,20</t>
  </si>
  <si>
    <t>3506</t>
  </si>
  <si>
    <t>45806-6</t>
  </si>
  <si>
    <t>3.312,96</t>
  </si>
  <si>
    <t>2.472,48</t>
  </si>
  <si>
    <t>2.758,08</t>
  </si>
  <si>
    <t>0</t>
  </si>
  <si>
    <t>4.043,76</t>
  </si>
  <si>
    <t>3.017,88</t>
  </si>
  <si>
    <t>3.366,48</t>
  </si>
  <si>
    <t>1122</t>
  </si>
  <si>
    <t>25697-8</t>
  </si>
  <si>
    <t>438,48</t>
  </si>
  <si>
    <t>327,24</t>
  </si>
  <si>
    <t>365,04</t>
  </si>
  <si>
    <t>1640</t>
  </si>
  <si>
    <t>732173-2</t>
  </si>
  <si>
    <t>20/11/1986</t>
  </si>
  <si>
    <t>5.846,40</t>
  </si>
  <si>
    <t>4.363,20</t>
  </si>
  <si>
    <t>4.867,20</t>
  </si>
  <si>
    <t>777520791-5</t>
  </si>
  <si>
    <t>5.675,88</t>
  </si>
  <si>
    <t>4.235,94</t>
  </si>
  <si>
    <t>4.725,24</t>
  </si>
  <si>
    <t>1987</t>
  </si>
  <si>
    <t>974,40</t>
  </si>
  <si>
    <t>727,20</t>
  </si>
  <si>
    <t>811,20</t>
  </si>
  <si>
    <t>4.482,24</t>
  </si>
  <si>
    <t>3.345,12</t>
  </si>
  <si>
    <t>3.731,52</t>
  </si>
  <si>
    <t>000364-0</t>
  </si>
  <si>
    <t>4.628,40</t>
  </si>
  <si>
    <t>3.454,20</t>
  </si>
  <si>
    <t>3.853,20</t>
  </si>
  <si>
    <t>2428</t>
  </si>
  <si>
    <t>5911-0</t>
  </si>
  <si>
    <t>46890-8</t>
  </si>
  <si>
    <t>828,24</t>
  </si>
  <si>
    <t>618,12</t>
  </si>
  <si>
    <t>689,52</t>
  </si>
  <si>
    <t>2844</t>
  </si>
  <si>
    <t>22534-7</t>
  </si>
  <si>
    <t>5602</t>
  </si>
  <si>
    <t>51443-8</t>
  </si>
  <si>
    <t>126459-1</t>
  </si>
  <si>
    <t>2.338,56</t>
  </si>
  <si>
    <t>1.745,28</t>
  </si>
  <si>
    <t>1.946,88</t>
  </si>
  <si>
    <t>56814-8</t>
  </si>
  <si>
    <t>4.774,56</t>
  </si>
  <si>
    <t>3.563,28</t>
  </si>
  <si>
    <t>3.974,88</t>
  </si>
  <si>
    <t>5.773,32</t>
  </si>
  <si>
    <t>4.308,66</t>
  </si>
  <si>
    <t>4.806,36</t>
  </si>
  <si>
    <t>3.800,16</t>
  </si>
  <si>
    <t>2.836,08</t>
  </si>
  <si>
    <t>3.163,68</t>
  </si>
  <si>
    <t>37868-2</t>
  </si>
  <si>
    <t>15906-9</t>
  </si>
  <si>
    <t>1.023,12</t>
  </si>
  <si>
    <t>763,56</t>
  </si>
  <si>
    <t>851,76</t>
  </si>
  <si>
    <t>806430-X</t>
  </si>
  <si>
    <t>292,32</t>
  </si>
  <si>
    <t>218,16</t>
  </si>
  <si>
    <t>243,36</t>
  </si>
  <si>
    <t>2362</t>
  </si>
  <si>
    <t>21166-4</t>
  </si>
  <si>
    <t>487,20</t>
  </si>
  <si>
    <t>363,60</t>
  </si>
  <si>
    <t>405,60</t>
  </si>
  <si>
    <t>73,08</t>
  </si>
  <si>
    <t>54,54</t>
  </si>
  <si>
    <t>60,84</t>
  </si>
  <si>
    <t>535,92</t>
  </si>
  <si>
    <t>399,96</t>
  </si>
  <si>
    <t>446,16</t>
  </si>
  <si>
    <t>350234-1</t>
  </si>
  <si>
    <t>219,24</t>
  </si>
  <si>
    <t>163,62</t>
  </si>
  <si>
    <t>182,52</t>
  </si>
  <si>
    <t>414,12</t>
  </si>
  <si>
    <t>309,06</t>
  </si>
  <si>
    <t>344,76</t>
  </si>
  <si>
    <t>960210394-4</t>
  </si>
  <si>
    <t>15/09/1979</t>
  </si>
  <si>
    <t>316,68</t>
  </si>
  <si>
    <t>236,34</t>
  </si>
  <si>
    <t>263,64</t>
  </si>
  <si>
    <t>1758</t>
  </si>
  <si>
    <t>24449-X</t>
  </si>
  <si>
    <t>609,00</t>
  </si>
  <si>
    <t>454,50</t>
  </si>
  <si>
    <t>507,00</t>
  </si>
  <si>
    <t>225206-6</t>
  </si>
  <si>
    <t>243,60</t>
  </si>
  <si>
    <t>181,80</t>
  </si>
  <si>
    <t>202,80</t>
  </si>
  <si>
    <t>2203</t>
  </si>
  <si>
    <t>11817-6</t>
  </si>
  <si>
    <t>1.339,80</t>
  </si>
  <si>
    <t>999,90</t>
  </si>
  <si>
    <t>1.115,40</t>
  </si>
  <si>
    <t>9085-9</t>
  </si>
  <si>
    <t>365,40</t>
  </si>
  <si>
    <t>272,70</t>
  </si>
  <si>
    <t>304,20</t>
  </si>
  <si>
    <t>631346-9</t>
  </si>
  <si>
    <t>15818-6</t>
  </si>
  <si>
    <t xml:space="preserve"> 783869032-4</t>
  </si>
  <si>
    <t>969932938-1</t>
  </si>
  <si>
    <t>10147-0</t>
  </si>
  <si>
    <t>593722747-2</t>
  </si>
  <si>
    <t>312333-2</t>
  </si>
  <si>
    <t>581453479-2</t>
  </si>
  <si>
    <t>26/11/2024</t>
  </si>
  <si>
    <t>423834-6</t>
  </si>
  <si>
    <t>025.762.873-87</t>
  </si>
  <si>
    <t>423880-0</t>
  </si>
  <si>
    <t>423879-6</t>
  </si>
  <si>
    <t>423881-8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</si>
</sst>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sz val="11"/>
      <color theme="1"/>
      <name val="Aptos Narrow"/>
      <family val="2"/>
      <scheme val="minor"/>
    </font>
    <font>
      <b/>
      <sz val="10"/>
      <name val="Arial"/>
      <family val="2"/>
    </font>
    <font>
      <b/>
      <sz val="10"/>
      <color indexed="12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8"/>
      <name val="Arial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1" fillId="0" borderId="0"/>
    <xf numFmtId="0" fontId="4" fillId="0" borderId="0"/>
  </cellStyleXfs>
  <cellXfs count="50">
    <xf numFmtId="0" fontId="0" fillId="0" borderId="0" xfId="0"/>
    <xf numFmtId="0" fontId="2" fillId="0" borderId="0" xfId="0" applyFont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0" fontId="4" fillId="0" borderId="1" xfId="0" applyFont="1" applyBorder="1"/>
    <xf numFmtId="49" fontId="0" fillId="0" borderId="1" xfId="0" applyNumberForma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5" fillId="2" borderId="1" xfId="0" applyFont="1" applyFill="1" applyBorder="1"/>
    <xf numFmtId="14" fontId="0" fillId="2" borderId="1" xfId="0" applyNumberFormat="1" applyFill="1" applyBorder="1" applyAlignment="1">
      <alignment horizontal="left"/>
    </xf>
    <xf numFmtId="4" fontId="0" fillId="2" borderId="1" xfId="0" applyNumberFormat="1" applyFill="1" applyBorder="1"/>
    <xf numFmtId="0" fontId="0" fillId="2" borderId="1" xfId="0" applyFill="1" applyBorder="1" applyAlignment="1">
      <alignment horizontal="left"/>
    </xf>
    <xf numFmtId="0" fontId="4" fillId="2" borderId="1" xfId="0" applyFont="1" applyFill="1" applyBorder="1"/>
    <xf numFmtId="49" fontId="0" fillId="2" borderId="1" xfId="0" applyNumberForma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0" fontId="0" fillId="2" borderId="0" xfId="0" applyFill="1"/>
    <xf numFmtId="0" fontId="4" fillId="0" borderId="1" xfId="0" applyFont="1" applyBorder="1" applyAlignment="1">
      <alignment horizontal="center"/>
    </xf>
    <xf numFmtId="4" fontId="2" fillId="0" borderId="1" xfId="0" applyNumberFormat="1" applyFont="1" applyBorder="1"/>
    <xf numFmtId="0" fontId="0" fillId="0" borderId="1" xfId="0" applyBorder="1" applyAlignment="1">
      <alignment horizontal="left"/>
    </xf>
    <xf numFmtId="49" fontId="4" fillId="0" borderId="1" xfId="0" applyNumberFormat="1" applyFont="1" applyBorder="1" applyAlignment="1">
      <alignment horizontal="center"/>
    </xf>
    <xf numFmtId="49" fontId="4" fillId="0" borderId="1" xfId="0" applyNumberFormat="1" applyFont="1" applyBorder="1"/>
    <xf numFmtId="14" fontId="0" fillId="0" borderId="1" xfId="0" applyNumberFormat="1" applyBorder="1" applyAlignment="1">
      <alignment horizontal="left"/>
    </xf>
    <xf numFmtId="49" fontId="9" fillId="3" borderId="1" xfId="1" applyNumberFormat="1" applyFont="1" applyFill="1" applyBorder="1" applyAlignment="1">
      <alignment horizontal="center" vertical="center" shrinkToFit="1"/>
    </xf>
    <xf numFmtId="49" fontId="8" fillId="4" borderId="1" xfId="1" applyNumberFormat="1" applyFont="1" applyFill="1" applyBorder="1" applyAlignment="1">
      <alignment horizontal="center" vertical="center" shrinkToFit="1"/>
    </xf>
    <xf numFmtId="49" fontId="6" fillId="4" borderId="1" xfId="1" applyNumberFormat="1" applyFont="1" applyFill="1" applyBorder="1" applyAlignment="1">
      <alignment horizontal="center" vertical="center" shrinkToFit="1"/>
    </xf>
    <xf numFmtId="49" fontId="8" fillId="4" borderId="1" xfId="1" applyNumberFormat="1" applyFont="1" applyFill="1" applyBorder="1" applyAlignment="1">
      <alignment horizontal="left" vertical="center" shrinkToFit="1"/>
    </xf>
    <xf numFmtId="49" fontId="8" fillId="5" borderId="1" xfId="1" applyNumberFormat="1" applyFont="1" applyFill="1" applyBorder="1" applyAlignment="1">
      <alignment horizontal="center" vertical="center" shrinkToFit="1"/>
    </xf>
    <xf numFmtId="49" fontId="8" fillId="4" borderId="1" xfId="2" applyNumberFormat="1" applyFont="1" applyFill="1" applyBorder="1" applyAlignment="1">
      <alignment horizontal="center" vertical="center" shrinkToFit="1"/>
    </xf>
    <xf numFmtId="49" fontId="8" fillId="4" borderId="0" xfId="1" applyNumberFormat="1" applyFont="1" applyFill="1" applyAlignment="1">
      <alignment horizontal="center" vertical="center" shrinkToFit="1"/>
    </xf>
    <xf numFmtId="49" fontId="9" fillId="2" borderId="1" xfId="1" applyNumberFormat="1" applyFont="1" applyFill="1" applyBorder="1" applyAlignment="1">
      <alignment horizontal="center" vertical="center" shrinkToFit="1"/>
    </xf>
    <xf numFmtId="49" fontId="4" fillId="0" borderId="1" xfId="3" applyNumberFormat="1" applyBorder="1" applyAlignment="1">
      <alignment horizontal="center" vertical="center"/>
    </xf>
    <xf numFmtId="49" fontId="9" fillId="2" borderId="1" xfId="2" applyNumberFormat="1" applyFont="1" applyFill="1" applyBorder="1" applyAlignment="1">
      <alignment horizontal="center" vertical="center" shrinkToFit="1"/>
    </xf>
    <xf numFmtId="0" fontId="9" fillId="2" borderId="1" xfId="2" applyNumberFormat="1" applyFont="1" applyFill="1" applyBorder="1" applyAlignment="1">
      <alignment horizontal="center" vertical="center" shrinkToFit="1"/>
    </xf>
    <xf numFmtId="49" fontId="0" fillId="0" borderId="1" xfId="0" applyNumberForma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1" fillId="0" borderId="0" xfId="2"/>
    <xf numFmtId="49" fontId="1" fillId="0" borderId="1" xfId="2" applyNumberFormat="1" applyBorder="1"/>
    <xf numFmtId="49" fontId="1" fillId="6" borderId="1" xfId="2" applyNumberFormat="1" applyFill="1" applyBorder="1"/>
    <xf numFmtId="0" fontId="1" fillId="0" borderId="1" xfId="2" applyBorder="1"/>
    <xf numFmtId="0" fontId="4" fillId="0" borderId="0" xfId="1"/>
    <xf numFmtId="49" fontId="0" fillId="2" borderId="1" xfId="0" applyNumberFormat="1" applyFill="1" applyBorder="1" applyAlignment="1">
      <alignment horizontal="center" vertical="center"/>
    </xf>
    <xf numFmtId="49" fontId="1" fillId="0" borderId="0" xfId="2" applyNumberFormat="1" applyAlignment="1">
      <alignment horizontal="center"/>
    </xf>
    <xf numFmtId="49" fontId="7" fillId="2" borderId="1" xfId="2" applyNumberFormat="1" applyFont="1" applyFill="1" applyBorder="1" applyAlignment="1">
      <alignment horizontal="center" vertical="center" shrinkToFit="1"/>
    </xf>
    <xf numFmtId="49" fontId="0" fillId="0" borderId="0" xfId="0" applyNumberFormat="1"/>
  </cellXfs>
  <cellStyles count="4">
    <cellStyle name="Normal" xfId="0" builtinId="0"/>
    <cellStyle name="Normal 2" xfId="2" xr:uid="{60627E07-3934-4073-98C4-DEFA0AB6D9AE}"/>
    <cellStyle name="Normal 2 2" xfId="1" xr:uid="{E55F2E69-BAF9-483B-B974-40A266A07737}"/>
    <cellStyle name="Normal 3" xfId="3" xr:uid="{ADF4748D-1E91-4CE3-83A7-0C2411C2373D}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</xdr:row>
      <xdr:rowOff>0</xdr:rowOff>
    </xdr:from>
    <xdr:ext cx="2466975" cy="1065953"/>
    <xdr:pic>
      <xdr:nvPicPr>
        <xdr:cNvPr id="2" name="Imagem 1">
          <a:extLst>
            <a:ext uri="{FF2B5EF4-FFF2-40B4-BE49-F238E27FC236}">
              <a16:creationId xmlns:a16="http://schemas.microsoft.com/office/drawing/2014/main" id="{180A5A2B-CEED-41E7-B75A-4AACDF0A47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" y="485775"/>
          <a:ext cx="2466975" cy="1065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2</xdr:row>
      <xdr:rowOff>0</xdr:rowOff>
    </xdr:from>
    <xdr:ext cx="2466975" cy="923078"/>
    <xdr:pic>
      <xdr:nvPicPr>
        <xdr:cNvPr id="2" name="Imagem 1">
          <a:extLst>
            <a:ext uri="{FF2B5EF4-FFF2-40B4-BE49-F238E27FC236}">
              <a16:creationId xmlns:a16="http://schemas.microsoft.com/office/drawing/2014/main" id="{8AB05E2B-354C-48B5-87AB-97D070FD87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23850"/>
          <a:ext cx="2466975" cy="9230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</xdr:row>
      <xdr:rowOff>0</xdr:rowOff>
    </xdr:from>
    <xdr:ext cx="2466975" cy="923078"/>
    <xdr:pic>
      <xdr:nvPicPr>
        <xdr:cNvPr id="3" name="Imagem 2">
          <a:extLst>
            <a:ext uri="{FF2B5EF4-FFF2-40B4-BE49-F238E27FC236}">
              <a16:creationId xmlns:a16="http://schemas.microsoft.com/office/drawing/2014/main" id="{0F89BA21-44CB-4B30-B611-5646A5EA71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23850"/>
          <a:ext cx="2466975" cy="9230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</xdr:row>
      <xdr:rowOff>0</xdr:rowOff>
    </xdr:from>
    <xdr:ext cx="2466975" cy="923078"/>
    <xdr:pic>
      <xdr:nvPicPr>
        <xdr:cNvPr id="4" name="Imagem 3">
          <a:extLst>
            <a:ext uri="{FF2B5EF4-FFF2-40B4-BE49-F238E27FC236}">
              <a16:creationId xmlns:a16="http://schemas.microsoft.com/office/drawing/2014/main" id="{7CD2841F-1AFF-40B8-8B12-85F431CC20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23850"/>
          <a:ext cx="2466975" cy="9230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</xdr:row>
      <xdr:rowOff>0</xdr:rowOff>
    </xdr:from>
    <xdr:ext cx="2466975" cy="923078"/>
    <xdr:pic>
      <xdr:nvPicPr>
        <xdr:cNvPr id="5" name="Imagem 4">
          <a:extLst>
            <a:ext uri="{FF2B5EF4-FFF2-40B4-BE49-F238E27FC236}">
              <a16:creationId xmlns:a16="http://schemas.microsoft.com/office/drawing/2014/main" id="{ECF0700C-83FC-4EA2-888B-3800ACC702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23850"/>
          <a:ext cx="2466975" cy="9230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S_DFPG\Downloads\relatorio%20-%202024-11-28T092809.266.xlsx" TargetMode="External"/><Relationship Id="rId1" Type="http://schemas.openxmlformats.org/officeDocument/2006/relationships/externalLinkPath" Target="/Users/ADS_DFPG/Downloads/relatorio%20-%202024-11-28T092809.26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S_DFPG\Downloads\relatorio%20-%202024-11-28T102538.249.xlsx" TargetMode="External"/><Relationship Id="rId1" Type="http://schemas.openxmlformats.org/officeDocument/2006/relationships/externalLinkPath" Target="/Users/ADS_DFPG/Downloads/relatorio%20-%202024-11-28T102538.24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latorio"/>
    </sheetNames>
    <sheetDataSet>
      <sheetData sheetId="0">
        <row r="1">
          <cell r="B1" t="str">
            <v>Matrícula</v>
          </cell>
          <cell r="C1" t="str">
            <v>CPF</v>
          </cell>
        </row>
        <row r="2">
          <cell r="B2" t="str">
            <v>423824-9</v>
          </cell>
          <cell r="C2" t="str">
            <v>770.247.453-04</v>
          </cell>
        </row>
        <row r="3">
          <cell r="B3" t="str">
            <v>423819-2</v>
          </cell>
          <cell r="C3" t="str">
            <v>286.657.243-20</v>
          </cell>
        </row>
        <row r="4">
          <cell r="B4" t="str">
            <v>423822-2</v>
          </cell>
          <cell r="C4" t="str">
            <v>286.657.243-20</v>
          </cell>
        </row>
        <row r="5">
          <cell r="B5" t="str">
            <v>423823-X</v>
          </cell>
          <cell r="C5" t="str">
            <v>131.472.503-34</v>
          </cell>
        </row>
        <row r="6">
          <cell r="B6" t="str">
            <v>423833-8</v>
          </cell>
          <cell r="C6" t="str">
            <v>781.376.673-34</v>
          </cell>
        </row>
        <row r="7">
          <cell r="B7" t="str">
            <v>423834-6</v>
          </cell>
          <cell r="C7" t="str">
            <v>781.376.673-34</v>
          </cell>
        </row>
        <row r="8">
          <cell r="B8" t="str">
            <v>423835-4</v>
          </cell>
          <cell r="C8" t="str">
            <v>781.376.673-34</v>
          </cell>
        </row>
        <row r="9">
          <cell r="B9" t="str">
            <v>423836-2</v>
          </cell>
          <cell r="C9" t="str">
            <v>347.603.263-91</v>
          </cell>
        </row>
        <row r="10">
          <cell r="B10" t="str">
            <v>423837-X</v>
          </cell>
          <cell r="C10" t="str">
            <v>347.603.263-91</v>
          </cell>
        </row>
        <row r="11">
          <cell r="B11" t="str">
            <v>423831-1</v>
          </cell>
          <cell r="C11" t="str">
            <v>013.815.063-05</v>
          </cell>
        </row>
        <row r="12">
          <cell r="B12" t="str">
            <v>423838-9</v>
          </cell>
          <cell r="C12" t="str">
            <v>152.103.593-87</v>
          </cell>
        </row>
        <row r="13">
          <cell r="B13" t="str">
            <v>423830-3</v>
          </cell>
          <cell r="C13" t="str">
            <v>520.881.703-91</v>
          </cell>
        </row>
        <row r="14">
          <cell r="B14" t="str">
            <v>423839-7</v>
          </cell>
          <cell r="C14" t="str">
            <v>623.484.853-20</v>
          </cell>
        </row>
        <row r="15">
          <cell r="B15" t="str">
            <v>423840-X</v>
          </cell>
          <cell r="C15" t="str">
            <v>396.649.613-53</v>
          </cell>
        </row>
        <row r="16">
          <cell r="B16" t="str">
            <v>423817-6</v>
          </cell>
          <cell r="C16" t="str">
            <v>373.761.103-30</v>
          </cell>
        </row>
        <row r="17">
          <cell r="B17" t="str">
            <v>423841-9</v>
          </cell>
          <cell r="C17" t="str">
            <v>011.740.993-64</v>
          </cell>
        </row>
        <row r="18">
          <cell r="B18" t="str">
            <v>423829-0</v>
          </cell>
          <cell r="C18" t="str">
            <v>013.941.563-75</v>
          </cell>
        </row>
        <row r="19">
          <cell r="B19" t="str">
            <v>423827-3</v>
          </cell>
          <cell r="C19" t="str">
            <v>041.517.623-96</v>
          </cell>
        </row>
        <row r="20">
          <cell r="B20" t="str">
            <v>423820-6</v>
          </cell>
          <cell r="C20" t="str">
            <v>011.028.813-09</v>
          </cell>
        </row>
        <row r="21">
          <cell r="B21" t="str">
            <v>423842-7</v>
          </cell>
          <cell r="C21" t="str">
            <v>702.183.073-49</v>
          </cell>
        </row>
        <row r="22">
          <cell r="B22" t="str">
            <v>423825-7</v>
          </cell>
          <cell r="C22" t="str">
            <v>992.739.693-72</v>
          </cell>
        </row>
        <row r="23">
          <cell r="B23" t="str">
            <v>423826-5</v>
          </cell>
          <cell r="C23" t="str">
            <v>026.686.233-08</v>
          </cell>
        </row>
        <row r="24">
          <cell r="B24" t="str">
            <v>423832-0</v>
          </cell>
          <cell r="C24" t="str">
            <v>160.512.893-72</v>
          </cell>
        </row>
        <row r="25">
          <cell r="B25" t="str">
            <v>423821-4</v>
          </cell>
          <cell r="C25" t="str">
            <v>005.720.383-05</v>
          </cell>
        </row>
        <row r="26">
          <cell r="B26" t="str">
            <v>423828-1</v>
          </cell>
          <cell r="C26" t="str">
            <v>200.459.563-91</v>
          </cell>
        </row>
        <row r="27">
          <cell r="B27" t="str">
            <v>423818-4</v>
          </cell>
          <cell r="C27" t="str">
            <v>296.365.583-53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latorio"/>
    </sheetNames>
    <sheetDataSet>
      <sheetData sheetId="0">
        <row r="1">
          <cell r="B1" t="str">
            <v>Matrícula</v>
          </cell>
          <cell r="C1" t="str">
            <v>CPF</v>
          </cell>
        </row>
        <row r="2">
          <cell r="B2" t="str">
            <v>423878-8</v>
          </cell>
          <cell r="C2" t="str">
            <v>536.664.103-91</v>
          </cell>
        </row>
        <row r="3">
          <cell r="B3" t="str">
            <v>423824-9</v>
          </cell>
          <cell r="C3" t="str">
            <v>770.247.453-04</v>
          </cell>
        </row>
        <row r="4">
          <cell r="B4" t="str">
            <v>423819-2</v>
          </cell>
          <cell r="C4" t="str">
            <v>286.657.243-20</v>
          </cell>
        </row>
        <row r="5">
          <cell r="B5" t="str">
            <v>423822-2</v>
          </cell>
          <cell r="C5" t="str">
            <v>286.657.243-20</v>
          </cell>
        </row>
        <row r="6">
          <cell r="B6" t="str">
            <v>423823-X</v>
          </cell>
          <cell r="C6" t="str">
            <v>131.472.503-34</v>
          </cell>
        </row>
        <row r="7">
          <cell r="B7" t="str">
            <v>423833-8</v>
          </cell>
          <cell r="C7" t="str">
            <v>781.376.673-34</v>
          </cell>
        </row>
        <row r="8">
          <cell r="B8" t="str">
            <v>423834-6</v>
          </cell>
          <cell r="C8" t="str">
            <v>781.376.673-34</v>
          </cell>
        </row>
        <row r="9">
          <cell r="B9" t="str">
            <v>423835-4</v>
          </cell>
          <cell r="C9" t="str">
            <v>781.376.673-34</v>
          </cell>
        </row>
        <row r="10">
          <cell r="B10" t="str">
            <v>423836-2</v>
          </cell>
          <cell r="C10" t="str">
            <v>347.603.263-91</v>
          </cell>
        </row>
        <row r="11">
          <cell r="B11" t="str">
            <v>423837-X</v>
          </cell>
          <cell r="C11" t="str">
            <v>347.603.263-91</v>
          </cell>
        </row>
        <row r="12">
          <cell r="B12" t="str">
            <v>Não Informado</v>
          </cell>
          <cell r="C12" t="str">
            <v>828.920.593-72</v>
          </cell>
        </row>
        <row r="13">
          <cell r="B13" t="str">
            <v>423831-1</v>
          </cell>
          <cell r="C13" t="str">
            <v>013.815.063-05</v>
          </cell>
        </row>
        <row r="14">
          <cell r="B14" t="str">
            <v>423838-9</v>
          </cell>
          <cell r="C14" t="str">
            <v>152.103.593-87</v>
          </cell>
        </row>
        <row r="15">
          <cell r="B15" t="str">
            <v>423830-3</v>
          </cell>
          <cell r="C15" t="str">
            <v>520.881.703-91</v>
          </cell>
        </row>
        <row r="16">
          <cell r="B16" t="str">
            <v>423839-7</v>
          </cell>
          <cell r="C16" t="str">
            <v>623.484.853-20</v>
          </cell>
        </row>
        <row r="17">
          <cell r="B17" t="str">
            <v>423840-X</v>
          </cell>
          <cell r="C17" t="str">
            <v>396.649.613-53</v>
          </cell>
        </row>
        <row r="18">
          <cell r="B18" t="str">
            <v>423877-0</v>
          </cell>
          <cell r="C18" t="str">
            <v>839.217.613-87</v>
          </cell>
        </row>
        <row r="19">
          <cell r="B19" t="str">
            <v>423817-6</v>
          </cell>
          <cell r="C19" t="str">
            <v>373.761.103-30</v>
          </cell>
        </row>
        <row r="20">
          <cell r="B20" t="str">
            <v>423841-9</v>
          </cell>
          <cell r="C20" t="str">
            <v>011.740.993-64</v>
          </cell>
        </row>
        <row r="21">
          <cell r="B21" t="str">
            <v>423829-0</v>
          </cell>
          <cell r="C21" t="str">
            <v>013.941.563-75</v>
          </cell>
        </row>
        <row r="22">
          <cell r="B22" t="str">
            <v>423827-3</v>
          </cell>
          <cell r="C22" t="str">
            <v>041.517.623-96</v>
          </cell>
        </row>
        <row r="23">
          <cell r="B23" t="str">
            <v>Não Informado</v>
          </cell>
          <cell r="C23" t="str">
            <v>006.559.913-60</v>
          </cell>
        </row>
        <row r="24">
          <cell r="B24" t="str">
            <v>423820-6</v>
          </cell>
          <cell r="C24" t="str">
            <v>011.028.813-09</v>
          </cell>
        </row>
        <row r="25">
          <cell r="B25" t="str">
            <v>423842-7</v>
          </cell>
          <cell r="C25" t="str">
            <v>702.183.073-49</v>
          </cell>
        </row>
        <row r="26">
          <cell r="B26" t="str">
            <v>Não Informado</v>
          </cell>
          <cell r="C26" t="str">
            <v>853.119.443-15</v>
          </cell>
        </row>
        <row r="27">
          <cell r="B27" t="str">
            <v>423825-7</v>
          </cell>
          <cell r="C27" t="str">
            <v>992.739.693-72</v>
          </cell>
        </row>
        <row r="28">
          <cell r="B28" t="str">
            <v>423826-5</v>
          </cell>
          <cell r="C28" t="str">
            <v>026.686.233-08</v>
          </cell>
        </row>
        <row r="29">
          <cell r="B29" t="str">
            <v>423832-0</v>
          </cell>
          <cell r="C29" t="str">
            <v>160.512.893-72</v>
          </cell>
        </row>
        <row r="30">
          <cell r="B30" t="str">
            <v>423821-4</v>
          </cell>
          <cell r="C30" t="str">
            <v>005.720.383-05</v>
          </cell>
        </row>
        <row r="31">
          <cell r="B31" t="str">
            <v>423828-1</v>
          </cell>
          <cell r="C31" t="str">
            <v>200.459.563-91</v>
          </cell>
        </row>
        <row r="32">
          <cell r="B32" t="str">
            <v>423818-4</v>
          </cell>
          <cell r="C32" t="str">
            <v>296.365.583-53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A7B5F-D022-4742-8164-47DE4BDDE0E6}">
  <dimension ref="A1:AT3"/>
  <sheetViews>
    <sheetView tabSelected="1" workbookViewId="0">
      <selection activeCell="L9" sqref="L9"/>
    </sheetView>
  </sheetViews>
  <sheetFormatPr defaultRowHeight="12.75" x14ac:dyDescent="0.2"/>
  <cols>
    <col min="4" max="4" width="13.85546875" bestFit="1" customWidth="1"/>
    <col min="5" max="5" width="38.140625" bestFit="1" customWidth="1"/>
    <col min="19" max="19" width="32" bestFit="1" customWidth="1"/>
  </cols>
  <sheetData>
    <row r="1" spans="1:46" ht="15" x14ac:dyDescent="0.2">
      <c r="A1" s="28" t="s">
        <v>488</v>
      </c>
      <c r="B1" s="29" t="s">
        <v>14</v>
      </c>
      <c r="C1" s="31" t="s">
        <v>491</v>
      </c>
      <c r="D1" s="29" t="s">
        <v>7</v>
      </c>
      <c r="E1" s="30" t="s">
        <v>6</v>
      </c>
      <c r="F1" s="29" t="s">
        <v>507</v>
      </c>
      <c r="G1" s="29" t="s">
        <v>508</v>
      </c>
      <c r="H1" s="33" t="s">
        <v>517</v>
      </c>
      <c r="I1" s="33" t="s">
        <v>518</v>
      </c>
      <c r="J1" s="33" t="s">
        <v>519</v>
      </c>
      <c r="K1" s="29" t="s">
        <v>520</v>
      </c>
      <c r="L1" s="29" t="s">
        <v>521</v>
      </c>
      <c r="M1" s="29" t="s">
        <v>522</v>
      </c>
      <c r="N1" s="29" t="s">
        <v>523</v>
      </c>
      <c r="O1" s="29" t="s">
        <v>524</v>
      </c>
      <c r="P1" s="29" t="s">
        <v>525</v>
      </c>
      <c r="Q1" s="29" t="s">
        <v>526</v>
      </c>
      <c r="R1" s="34" t="s">
        <v>4</v>
      </c>
      <c r="S1" s="29" t="s">
        <v>20</v>
      </c>
      <c r="T1" s="29" t="s">
        <v>22</v>
      </c>
      <c r="U1" s="29" t="s">
        <v>501</v>
      </c>
      <c r="V1" s="29" t="s">
        <v>502</v>
      </c>
      <c r="W1" s="28" t="s">
        <v>489</v>
      </c>
      <c r="X1" s="28" t="s">
        <v>490</v>
      </c>
      <c r="Y1" s="28" t="s">
        <v>492</v>
      </c>
      <c r="Z1" s="28" t="s">
        <v>493</v>
      </c>
      <c r="AA1" s="28" t="s">
        <v>494</v>
      </c>
      <c r="AB1" s="28" t="s">
        <v>495</v>
      </c>
      <c r="AC1" s="28" t="s">
        <v>496</v>
      </c>
      <c r="AD1" s="28" t="s">
        <v>15</v>
      </c>
      <c r="AE1" s="28" t="s">
        <v>497</v>
      </c>
      <c r="AF1" s="32" t="s">
        <v>498</v>
      </c>
      <c r="AG1" s="28" t="s">
        <v>499</v>
      </c>
      <c r="AH1" s="32" t="s">
        <v>500</v>
      </c>
      <c r="AI1" s="32" t="s">
        <v>503</v>
      </c>
      <c r="AJ1" s="32" t="s">
        <v>504</v>
      </c>
      <c r="AK1" s="32" t="s">
        <v>505</v>
      </c>
      <c r="AL1" s="32" t="s">
        <v>506</v>
      </c>
      <c r="AM1" s="28" t="s">
        <v>509</v>
      </c>
      <c r="AN1" s="28" t="s">
        <v>510</v>
      </c>
      <c r="AO1" s="28" t="s">
        <v>511</v>
      </c>
      <c r="AP1" s="28" t="s">
        <v>512</v>
      </c>
      <c r="AQ1" s="28" t="s">
        <v>513</v>
      </c>
      <c r="AR1" s="28" t="s">
        <v>514</v>
      </c>
      <c r="AS1" s="28" t="s">
        <v>515</v>
      </c>
      <c r="AT1" s="32" t="s">
        <v>516</v>
      </c>
    </row>
    <row r="2" spans="1:46" ht="15" x14ac:dyDescent="0.25">
      <c r="A2" s="35" t="s">
        <v>556</v>
      </c>
      <c r="B2" s="39" t="s">
        <v>580</v>
      </c>
      <c r="C2" s="39" t="s">
        <v>163</v>
      </c>
      <c r="D2" s="39" t="s">
        <v>159</v>
      </c>
      <c r="E2" s="39" t="s">
        <v>162</v>
      </c>
      <c r="F2" s="47" t="s">
        <v>637</v>
      </c>
      <c r="G2" s="39" t="s">
        <v>536</v>
      </c>
      <c r="H2" s="39" t="s">
        <v>156</v>
      </c>
      <c r="I2" s="39"/>
      <c r="J2" s="38" t="e">
        <v>#N/A</v>
      </c>
      <c r="K2" s="35" t="s">
        <v>543</v>
      </c>
      <c r="L2" s="39" t="s">
        <v>702</v>
      </c>
      <c r="M2" s="35" t="s">
        <v>544</v>
      </c>
      <c r="N2" s="39" t="s">
        <v>703</v>
      </c>
      <c r="O2" s="35" t="s">
        <v>545</v>
      </c>
      <c r="P2" s="39" t="s">
        <v>704</v>
      </c>
      <c r="Q2" s="37" t="s">
        <v>546</v>
      </c>
      <c r="R2" s="39"/>
      <c r="S2" s="35" t="s">
        <v>535</v>
      </c>
      <c r="T2" s="36" t="s">
        <v>705</v>
      </c>
      <c r="U2" s="36" t="s">
        <v>549</v>
      </c>
      <c r="V2" s="37" t="s">
        <v>706</v>
      </c>
      <c r="W2" s="35" t="s">
        <v>528</v>
      </c>
      <c r="X2" s="35" t="s">
        <v>529</v>
      </c>
      <c r="Y2" s="35" t="s">
        <v>530</v>
      </c>
      <c r="Z2" s="35" t="s">
        <v>531</v>
      </c>
      <c r="AA2" s="35" t="s">
        <v>532</v>
      </c>
      <c r="AB2" s="35" t="s">
        <v>531</v>
      </c>
      <c r="AC2" s="35" t="s">
        <v>311</v>
      </c>
      <c r="AD2" s="35" t="s">
        <v>418</v>
      </c>
      <c r="AE2" s="35" t="s">
        <v>533</v>
      </c>
      <c r="AF2" s="35" t="s">
        <v>781</v>
      </c>
      <c r="AG2" s="35" t="s">
        <v>534</v>
      </c>
      <c r="AH2" s="35" t="s">
        <v>781</v>
      </c>
      <c r="AI2" s="35" t="s">
        <v>781</v>
      </c>
      <c r="AJ2" s="35" t="s">
        <v>781</v>
      </c>
      <c r="AK2" s="35" t="s">
        <v>781</v>
      </c>
      <c r="AL2" s="35" t="s">
        <v>781</v>
      </c>
      <c r="AM2" s="35" t="s">
        <v>534</v>
      </c>
      <c r="AN2" s="35" t="s">
        <v>537</v>
      </c>
      <c r="AO2" s="35" t="s">
        <v>538</v>
      </c>
      <c r="AP2" s="35" t="s">
        <v>539</v>
      </c>
      <c r="AQ2" s="35" t="s">
        <v>540</v>
      </c>
      <c r="AR2" s="35" t="s">
        <v>541</v>
      </c>
      <c r="AS2" s="35" t="s">
        <v>542</v>
      </c>
      <c r="AT2" s="37" t="s">
        <v>547</v>
      </c>
    </row>
    <row r="3" spans="1:46" ht="15" x14ac:dyDescent="0.25">
      <c r="A3" s="35" t="s">
        <v>579</v>
      </c>
      <c r="B3" s="39" t="s">
        <v>580</v>
      </c>
      <c r="C3" s="39" t="s">
        <v>330</v>
      </c>
      <c r="D3" s="39" t="s">
        <v>328</v>
      </c>
      <c r="E3" s="39" t="s">
        <v>329</v>
      </c>
      <c r="F3" s="39" t="s">
        <v>326</v>
      </c>
      <c r="G3" s="39" t="s">
        <v>536</v>
      </c>
      <c r="H3" s="39"/>
      <c r="I3" s="39" t="s">
        <v>332</v>
      </c>
      <c r="J3" s="38" t="s">
        <v>531</v>
      </c>
      <c r="K3" s="35" t="s">
        <v>543</v>
      </c>
      <c r="L3" s="39" t="s">
        <v>770</v>
      </c>
      <c r="M3" s="35" t="s">
        <v>544</v>
      </c>
      <c r="N3" s="39" t="s">
        <v>771</v>
      </c>
      <c r="O3" s="35" t="s">
        <v>545</v>
      </c>
      <c r="P3" s="39" t="s">
        <v>772</v>
      </c>
      <c r="Q3" s="37" t="s">
        <v>568</v>
      </c>
      <c r="R3" s="39"/>
      <c r="S3" s="42" t="s">
        <v>660</v>
      </c>
      <c r="T3" s="39" t="s">
        <v>307</v>
      </c>
      <c r="U3" s="39" t="s">
        <v>669</v>
      </c>
      <c r="V3" s="39" t="s">
        <v>773</v>
      </c>
      <c r="W3" s="35" t="s">
        <v>528</v>
      </c>
      <c r="X3" s="35" t="s">
        <v>529</v>
      </c>
      <c r="Y3" s="35" t="s">
        <v>530</v>
      </c>
      <c r="Z3" s="35" t="s">
        <v>531</v>
      </c>
      <c r="AA3" s="35" t="s">
        <v>532</v>
      </c>
      <c r="AB3" s="35" t="s">
        <v>531</v>
      </c>
      <c r="AC3" s="35" t="s">
        <v>311</v>
      </c>
      <c r="AD3" s="35" t="s">
        <v>418</v>
      </c>
      <c r="AE3" s="35" t="s">
        <v>533</v>
      </c>
      <c r="AF3" s="35" t="s">
        <v>781</v>
      </c>
      <c r="AG3" s="35" t="s">
        <v>534</v>
      </c>
      <c r="AH3" s="35" t="s">
        <v>781</v>
      </c>
      <c r="AI3" s="35" t="s">
        <v>781</v>
      </c>
      <c r="AJ3" s="35" t="s">
        <v>781</v>
      </c>
      <c r="AK3" s="35" t="s">
        <v>781</v>
      </c>
      <c r="AL3" s="35" t="s">
        <v>781</v>
      </c>
      <c r="AM3" s="35" t="s">
        <v>534</v>
      </c>
      <c r="AN3" s="35" t="s">
        <v>537</v>
      </c>
      <c r="AO3" s="35" t="s">
        <v>538</v>
      </c>
      <c r="AP3" s="35" t="s">
        <v>539</v>
      </c>
      <c r="AQ3" s="35" t="s">
        <v>540</v>
      </c>
      <c r="AR3" s="35" t="s">
        <v>541</v>
      </c>
      <c r="AS3" s="35" t="s">
        <v>542</v>
      </c>
      <c r="AT3" s="37" t="s">
        <v>547</v>
      </c>
    </row>
  </sheetData>
  <conditionalFormatting sqref="D1">
    <cfRule type="duplicateValues" dxfId="13" priority="6"/>
    <cfRule type="duplicateValues" dxfId="12" priority="7"/>
  </conditionalFormatting>
  <conditionalFormatting sqref="J1">
    <cfRule type="duplicateValues" dxfId="11" priority="5"/>
  </conditionalFormatting>
  <conditionalFormatting sqref="J1">
    <cfRule type="duplicateValues" dxfId="10" priority="15"/>
    <cfRule type="duplicateValues" dxfId="9" priority="16"/>
  </conditionalFormatting>
  <conditionalFormatting sqref="J2:J3">
    <cfRule type="duplicateValues" dxfId="2" priority="20"/>
    <cfRule type="duplicateValues" dxfId="1" priority="21"/>
  </conditionalFormatting>
  <conditionalFormatting sqref="J2:J3">
    <cfRule type="duplicateValues" dxfId="0" priority="24"/>
  </conditionalFormatting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963D5-CDAF-4E1B-9AA9-F93E6ADBF87B}">
  <sheetPr filterMode="1"/>
  <dimension ref="A1:AT34"/>
  <sheetViews>
    <sheetView workbookViewId="0">
      <selection activeCell="J34" sqref="J34"/>
    </sheetView>
  </sheetViews>
  <sheetFormatPr defaultRowHeight="12.75" x14ac:dyDescent="0.2"/>
  <cols>
    <col min="1" max="1" width="9.42578125" style="49" bestFit="1" customWidth="1"/>
    <col min="2" max="2" width="11.85546875" style="49" bestFit="1" customWidth="1"/>
    <col min="3" max="3" width="18.42578125" style="49" bestFit="1" customWidth="1"/>
    <col min="4" max="4" width="13.85546875" style="49" bestFit="1" customWidth="1"/>
    <col min="5" max="5" width="42.140625" style="49" bestFit="1" customWidth="1"/>
    <col min="6" max="6" width="23.140625" style="49" bestFit="1" customWidth="1"/>
    <col min="7" max="7" width="12.5703125" style="49" bestFit="1" customWidth="1"/>
    <col min="8" max="8" width="20" style="49" bestFit="1" customWidth="1"/>
    <col min="9" max="9" width="21.5703125" style="49" bestFit="1" customWidth="1"/>
    <col min="10" max="10" width="16.5703125" style="49" bestFit="1" customWidth="1"/>
    <col min="11" max="11" width="10" style="49" bestFit="1" customWidth="1"/>
    <col min="12" max="12" width="8.140625" style="49" bestFit="1" customWidth="1"/>
    <col min="13" max="13" width="10" style="49" bestFit="1" customWidth="1"/>
    <col min="14" max="14" width="8.140625" style="49" bestFit="1" customWidth="1"/>
    <col min="15" max="15" width="10" style="49" bestFit="1" customWidth="1"/>
    <col min="16" max="16" width="8.140625" style="49" bestFit="1" customWidth="1"/>
    <col min="17" max="17" width="11.42578125" style="49" bestFit="1" customWidth="1"/>
    <col min="18" max="18" width="10.85546875" style="49" bestFit="1" customWidth="1"/>
    <col min="19" max="19" width="32" style="49" bestFit="1" customWidth="1"/>
    <col min="20" max="20" width="8.7109375" style="49" bestFit="1" customWidth="1"/>
    <col min="21" max="21" width="12.28515625" style="49" bestFit="1" customWidth="1"/>
    <col min="22" max="22" width="17.5703125" style="49" bestFit="1" customWidth="1"/>
    <col min="23" max="23" width="16.42578125" style="49" bestFit="1" customWidth="1"/>
    <col min="24" max="24" width="15.5703125" style="49" bestFit="1" customWidth="1"/>
    <col min="25" max="25" width="16.5703125" style="49" bestFit="1" customWidth="1"/>
    <col min="26" max="26" width="14.5703125" style="49" bestFit="1" customWidth="1"/>
    <col min="27" max="27" width="15.140625" style="49" bestFit="1" customWidth="1"/>
    <col min="28" max="28" width="14.5703125" style="49" bestFit="1" customWidth="1"/>
    <col min="29" max="29" width="3.28515625" style="49" bestFit="1" customWidth="1"/>
    <col min="30" max="30" width="10.7109375" style="49" bestFit="1" customWidth="1"/>
    <col min="31" max="31" width="6.140625" style="49" bestFit="1" customWidth="1"/>
    <col min="32" max="32" width="20.28515625" style="49" bestFit="1" customWidth="1"/>
    <col min="33" max="33" width="13.140625" style="49" bestFit="1" customWidth="1"/>
    <col min="34" max="34" width="22.7109375" style="49" bestFit="1" customWidth="1"/>
    <col min="35" max="35" width="18.42578125" style="49" bestFit="1" customWidth="1"/>
    <col min="36" max="36" width="15.7109375" style="49" bestFit="1" customWidth="1"/>
    <col min="37" max="37" width="12" style="49" bestFit="1" customWidth="1"/>
    <col min="38" max="38" width="15.7109375" style="49" bestFit="1" customWidth="1"/>
    <col min="39" max="39" width="7.5703125" style="49" bestFit="1" customWidth="1"/>
    <col min="40" max="40" width="10.140625" style="49" bestFit="1" customWidth="1"/>
    <col min="41" max="41" width="10.85546875" style="49" bestFit="1" customWidth="1"/>
    <col min="42" max="42" width="5.28515625" style="49" bestFit="1" customWidth="1"/>
    <col min="43" max="43" width="9.7109375" style="49" bestFit="1" customWidth="1"/>
    <col min="44" max="44" width="9.140625" style="49" bestFit="1" customWidth="1"/>
    <col min="45" max="45" width="22" style="49" bestFit="1" customWidth="1"/>
    <col min="46" max="46" width="20.28515625" style="49" bestFit="1" customWidth="1"/>
    <col min="47" max="16384" width="9.140625" style="49"/>
  </cols>
  <sheetData>
    <row r="1" spans="1:46" ht="15" x14ac:dyDescent="0.2">
      <c r="A1" s="28" t="s">
        <v>488</v>
      </c>
      <c r="B1" s="29" t="s">
        <v>14</v>
      </c>
      <c r="C1" s="31" t="s">
        <v>491</v>
      </c>
      <c r="D1" s="29" t="s">
        <v>7</v>
      </c>
      <c r="E1" s="30" t="s">
        <v>6</v>
      </c>
      <c r="F1" s="29" t="s">
        <v>507</v>
      </c>
      <c r="G1" s="29" t="s">
        <v>508</v>
      </c>
      <c r="H1" s="33" t="s">
        <v>517</v>
      </c>
      <c r="I1" s="33" t="s">
        <v>518</v>
      </c>
      <c r="J1" s="33" t="s">
        <v>519</v>
      </c>
      <c r="K1" s="29" t="s">
        <v>520</v>
      </c>
      <c r="L1" s="29" t="s">
        <v>521</v>
      </c>
      <c r="M1" s="29" t="s">
        <v>522</v>
      </c>
      <c r="N1" s="29" t="s">
        <v>523</v>
      </c>
      <c r="O1" s="29" t="s">
        <v>524</v>
      </c>
      <c r="P1" s="29" t="s">
        <v>525</v>
      </c>
      <c r="Q1" s="29" t="s">
        <v>526</v>
      </c>
      <c r="R1" s="34" t="s">
        <v>4</v>
      </c>
      <c r="S1" s="29" t="s">
        <v>20</v>
      </c>
      <c r="T1" s="29" t="s">
        <v>22</v>
      </c>
      <c r="U1" s="29" t="s">
        <v>501</v>
      </c>
      <c r="V1" s="29" t="s">
        <v>502</v>
      </c>
      <c r="W1" s="28" t="s">
        <v>489</v>
      </c>
      <c r="X1" s="28" t="s">
        <v>490</v>
      </c>
      <c r="Y1" s="28" t="s">
        <v>492</v>
      </c>
      <c r="Z1" s="28" t="s">
        <v>493</v>
      </c>
      <c r="AA1" s="28" t="s">
        <v>494</v>
      </c>
      <c r="AB1" s="28" t="s">
        <v>495</v>
      </c>
      <c r="AC1" s="28" t="s">
        <v>496</v>
      </c>
      <c r="AD1" s="28" t="s">
        <v>15</v>
      </c>
      <c r="AE1" s="28" t="s">
        <v>497</v>
      </c>
      <c r="AF1" s="32" t="s">
        <v>498</v>
      </c>
      <c r="AG1" s="28" t="s">
        <v>499</v>
      </c>
      <c r="AH1" s="32" t="s">
        <v>500</v>
      </c>
      <c r="AI1" s="32" t="s">
        <v>503</v>
      </c>
      <c r="AJ1" s="32" t="s">
        <v>504</v>
      </c>
      <c r="AK1" s="32" t="s">
        <v>505</v>
      </c>
      <c r="AL1" s="32" t="s">
        <v>506</v>
      </c>
      <c r="AM1" s="28" t="s">
        <v>509</v>
      </c>
      <c r="AN1" s="28" t="s">
        <v>510</v>
      </c>
      <c r="AO1" s="28" t="s">
        <v>511</v>
      </c>
      <c r="AP1" s="28" t="s">
        <v>512</v>
      </c>
      <c r="AQ1" s="28" t="s">
        <v>513</v>
      </c>
      <c r="AR1" s="28" t="s">
        <v>514</v>
      </c>
      <c r="AS1" s="28" t="s">
        <v>515</v>
      </c>
      <c r="AT1" s="32" t="s">
        <v>516</v>
      </c>
    </row>
    <row r="2" spans="1:46" ht="15" hidden="1" x14ac:dyDescent="0.2">
      <c r="A2" s="35" t="s">
        <v>527</v>
      </c>
      <c r="B2" s="39" t="s">
        <v>580</v>
      </c>
      <c r="C2" s="39" t="s">
        <v>35</v>
      </c>
      <c r="D2" s="39" t="s">
        <v>30</v>
      </c>
      <c r="E2" s="39" t="s">
        <v>33</v>
      </c>
      <c r="F2" s="39" t="s">
        <v>32</v>
      </c>
      <c r="G2" s="39" t="s">
        <v>527</v>
      </c>
      <c r="H2" s="39" t="s">
        <v>26</v>
      </c>
      <c r="I2" s="40"/>
      <c r="J2" s="38" t="str">
        <f>_xlfn.XLOOKUP(D2,[1]Relatorio!$C:$C,[1]Relatorio!$B:$B)</f>
        <v>423817-6</v>
      </c>
      <c r="K2" s="35" t="s">
        <v>543</v>
      </c>
      <c r="L2" s="39" t="s">
        <v>661</v>
      </c>
      <c r="M2" s="35" t="s">
        <v>544</v>
      </c>
      <c r="N2" s="39" t="s">
        <v>662</v>
      </c>
      <c r="O2" s="35" t="s">
        <v>545</v>
      </c>
      <c r="P2" s="39" t="s">
        <v>663</v>
      </c>
      <c r="Q2" s="37" t="s">
        <v>546</v>
      </c>
      <c r="R2" s="40"/>
      <c r="S2" s="35" t="s">
        <v>535</v>
      </c>
      <c r="T2" s="36" t="s">
        <v>664</v>
      </c>
      <c r="U2" s="36" t="s">
        <v>553</v>
      </c>
      <c r="V2" s="48" t="s">
        <v>665</v>
      </c>
      <c r="W2" s="35" t="s">
        <v>528</v>
      </c>
      <c r="X2" s="35" t="s">
        <v>529</v>
      </c>
      <c r="Y2" s="35" t="s">
        <v>530</v>
      </c>
      <c r="Z2" s="35" t="s">
        <v>531</v>
      </c>
      <c r="AA2" s="35" t="s">
        <v>532</v>
      </c>
      <c r="AB2" s="35" t="s">
        <v>531</v>
      </c>
      <c r="AC2" s="35" t="s">
        <v>311</v>
      </c>
      <c r="AD2" s="35" t="s">
        <v>418</v>
      </c>
      <c r="AE2" s="35" t="s">
        <v>533</v>
      </c>
      <c r="AF2" s="35" t="s">
        <v>781</v>
      </c>
      <c r="AG2" s="35" t="s">
        <v>534</v>
      </c>
      <c r="AH2" s="35" t="s">
        <v>781</v>
      </c>
      <c r="AI2" s="35" t="s">
        <v>781</v>
      </c>
      <c r="AJ2" s="35" t="s">
        <v>781</v>
      </c>
      <c r="AK2" s="35" t="s">
        <v>781</v>
      </c>
      <c r="AL2" s="35" t="s">
        <v>781</v>
      </c>
      <c r="AM2" s="35" t="s">
        <v>534</v>
      </c>
      <c r="AN2" s="35" t="s">
        <v>537</v>
      </c>
      <c r="AO2" s="35" t="s">
        <v>538</v>
      </c>
      <c r="AP2" s="35" t="s">
        <v>539</v>
      </c>
      <c r="AQ2" s="35" t="s">
        <v>540</v>
      </c>
      <c r="AR2" s="35" t="s">
        <v>541</v>
      </c>
      <c r="AS2" s="35" t="s">
        <v>542</v>
      </c>
      <c r="AT2" s="37" t="s">
        <v>547</v>
      </c>
    </row>
    <row r="3" spans="1:46" ht="15" x14ac:dyDescent="0.25">
      <c r="A3" s="35" t="s">
        <v>536</v>
      </c>
      <c r="B3" s="39" t="s">
        <v>581</v>
      </c>
      <c r="C3" s="39" t="s">
        <v>51</v>
      </c>
      <c r="D3" s="39" t="s">
        <v>46</v>
      </c>
      <c r="E3" s="39" t="s">
        <v>49</v>
      </c>
      <c r="F3" s="39" t="s">
        <v>48</v>
      </c>
      <c r="G3" s="39" t="s">
        <v>527</v>
      </c>
      <c r="H3" s="39" t="s">
        <v>43</v>
      </c>
      <c r="I3" s="39"/>
      <c r="J3" s="38" t="s">
        <v>785</v>
      </c>
      <c r="K3" s="35" t="s">
        <v>543</v>
      </c>
      <c r="L3" s="39" t="s">
        <v>666</v>
      </c>
      <c r="M3" s="35" t="s">
        <v>544</v>
      </c>
      <c r="N3" s="39" t="s">
        <v>667</v>
      </c>
      <c r="O3" s="35" t="s">
        <v>545</v>
      </c>
      <c r="P3" s="39" t="s">
        <v>668</v>
      </c>
      <c r="Q3" s="37" t="s">
        <v>546</v>
      </c>
      <c r="R3" s="39"/>
      <c r="S3" s="42" t="s">
        <v>585</v>
      </c>
      <c r="T3" s="36" t="s">
        <v>58</v>
      </c>
      <c r="U3" s="36" t="s">
        <v>669</v>
      </c>
      <c r="V3" s="48" t="s">
        <v>774</v>
      </c>
      <c r="W3" s="35" t="s">
        <v>528</v>
      </c>
      <c r="X3" s="35" t="s">
        <v>529</v>
      </c>
      <c r="Y3" s="35" t="s">
        <v>530</v>
      </c>
      <c r="Z3" s="35" t="s">
        <v>531</v>
      </c>
      <c r="AA3" s="35" t="s">
        <v>532</v>
      </c>
      <c r="AB3" s="35" t="s">
        <v>531</v>
      </c>
      <c r="AC3" s="35" t="s">
        <v>311</v>
      </c>
      <c r="AD3" s="35" t="s">
        <v>418</v>
      </c>
      <c r="AE3" s="35" t="s">
        <v>533</v>
      </c>
      <c r="AF3" s="35" t="s">
        <v>781</v>
      </c>
      <c r="AG3" s="35" t="s">
        <v>534</v>
      </c>
      <c r="AH3" s="35" t="s">
        <v>781</v>
      </c>
      <c r="AI3" s="35" t="s">
        <v>781</v>
      </c>
      <c r="AJ3" s="35" t="s">
        <v>781</v>
      </c>
      <c r="AK3" s="35" t="s">
        <v>781</v>
      </c>
      <c r="AL3" s="35" t="s">
        <v>781</v>
      </c>
      <c r="AM3" s="35" t="s">
        <v>534</v>
      </c>
      <c r="AN3" s="35" t="s">
        <v>537</v>
      </c>
      <c r="AO3" s="35" t="s">
        <v>538</v>
      </c>
      <c r="AP3" s="35" t="s">
        <v>539</v>
      </c>
      <c r="AQ3" s="35" t="s">
        <v>540</v>
      </c>
      <c r="AR3" s="35" t="s">
        <v>541</v>
      </c>
      <c r="AS3" s="35" t="s">
        <v>542</v>
      </c>
      <c r="AT3" s="37" t="s">
        <v>547</v>
      </c>
    </row>
    <row r="4" spans="1:46" ht="15" hidden="1" x14ac:dyDescent="0.2">
      <c r="A4" s="35" t="s">
        <v>548</v>
      </c>
      <c r="B4" s="39" t="s">
        <v>580</v>
      </c>
      <c r="C4" s="39" t="s">
        <v>67</v>
      </c>
      <c r="D4" s="39" t="s">
        <v>69</v>
      </c>
      <c r="E4" s="39" t="s">
        <v>66</v>
      </c>
      <c r="F4" s="39" t="s">
        <v>65</v>
      </c>
      <c r="G4" s="39" t="s">
        <v>527</v>
      </c>
      <c r="H4" s="39" t="s">
        <v>60</v>
      </c>
      <c r="I4" s="39"/>
      <c r="J4" s="38" t="str">
        <f>_xlfn.XLOOKUP(D4,[1]Relatorio!$C:$C,[1]Relatorio!$B:$B)</f>
        <v>423818-4</v>
      </c>
      <c r="K4" s="35" t="s">
        <v>543</v>
      </c>
      <c r="L4" s="39" t="s">
        <v>670</v>
      </c>
      <c r="M4" s="35" t="s">
        <v>544</v>
      </c>
      <c r="N4" s="39" t="s">
        <v>671</v>
      </c>
      <c r="O4" s="35" t="s">
        <v>545</v>
      </c>
      <c r="P4" s="39" t="s">
        <v>672</v>
      </c>
      <c r="Q4" s="37" t="s">
        <v>546</v>
      </c>
      <c r="R4" s="39"/>
      <c r="S4" s="35" t="s">
        <v>535</v>
      </c>
      <c r="T4" s="36" t="s">
        <v>673</v>
      </c>
      <c r="U4" s="36" t="s">
        <v>548</v>
      </c>
      <c r="V4" s="37" t="s">
        <v>674</v>
      </c>
      <c r="W4" s="35" t="s">
        <v>528</v>
      </c>
      <c r="X4" s="35" t="s">
        <v>529</v>
      </c>
      <c r="Y4" s="35" t="s">
        <v>530</v>
      </c>
      <c r="Z4" s="35" t="s">
        <v>531</v>
      </c>
      <c r="AA4" s="35" t="s">
        <v>532</v>
      </c>
      <c r="AB4" s="35" t="s">
        <v>531</v>
      </c>
      <c r="AC4" s="35" t="s">
        <v>311</v>
      </c>
      <c r="AD4" s="35" t="s">
        <v>418</v>
      </c>
      <c r="AE4" s="35" t="s">
        <v>533</v>
      </c>
      <c r="AF4" s="35" t="s">
        <v>781</v>
      </c>
      <c r="AG4" s="35" t="s">
        <v>534</v>
      </c>
      <c r="AH4" s="35" t="s">
        <v>781</v>
      </c>
      <c r="AI4" s="35" t="s">
        <v>781</v>
      </c>
      <c r="AJ4" s="35" t="s">
        <v>781</v>
      </c>
      <c r="AK4" s="35" t="s">
        <v>781</v>
      </c>
      <c r="AL4" s="35" t="s">
        <v>781</v>
      </c>
      <c r="AM4" s="35" t="s">
        <v>534</v>
      </c>
      <c r="AN4" s="35" t="s">
        <v>537</v>
      </c>
      <c r="AO4" s="35" t="s">
        <v>538</v>
      </c>
      <c r="AP4" s="35" t="s">
        <v>539</v>
      </c>
      <c r="AQ4" s="35" t="s">
        <v>540</v>
      </c>
      <c r="AR4" s="35" t="s">
        <v>541</v>
      </c>
      <c r="AS4" s="35" t="s">
        <v>542</v>
      </c>
      <c r="AT4" s="37" t="s">
        <v>547</v>
      </c>
    </row>
    <row r="5" spans="1:46" ht="15" hidden="1" x14ac:dyDescent="0.2">
      <c r="A5" s="35" t="s">
        <v>549</v>
      </c>
      <c r="B5" s="39" t="s">
        <v>580</v>
      </c>
      <c r="C5" s="39" t="s">
        <v>80</v>
      </c>
      <c r="D5" s="39" t="s">
        <v>77</v>
      </c>
      <c r="E5" s="39" t="s">
        <v>79</v>
      </c>
      <c r="F5" s="39" t="s">
        <v>48</v>
      </c>
      <c r="G5" s="39" t="s">
        <v>527</v>
      </c>
      <c r="H5" s="39" t="s">
        <v>74</v>
      </c>
      <c r="I5" s="39"/>
      <c r="J5" s="38" t="str">
        <f>_xlfn.XLOOKUP(D5,[1]Relatorio!$C:$C,[1]Relatorio!$B:$B)</f>
        <v>423819-2</v>
      </c>
      <c r="K5" s="35" t="s">
        <v>543</v>
      </c>
      <c r="L5" s="39" t="s">
        <v>675</v>
      </c>
      <c r="M5" s="35" t="s">
        <v>544</v>
      </c>
      <c r="N5" s="39" t="s">
        <v>676</v>
      </c>
      <c r="O5" s="35" t="s">
        <v>545</v>
      </c>
      <c r="P5" s="39" t="s">
        <v>677</v>
      </c>
      <c r="Q5" s="37" t="s">
        <v>546</v>
      </c>
      <c r="R5" s="39"/>
      <c r="S5" s="35" t="s">
        <v>535</v>
      </c>
      <c r="T5" s="36" t="s">
        <v>678</v>
      </c>
      <c r="U5" s="36" t="s">
        <v>548</v>
      </c>
      <c r="V5" s="37" t="s">
        <v>679</v>
      </c>
      <c r="W5" s="35" t="s">
        <v>528</v>
      </c>
      <c r="X5" s="35" t="s">
        <v>529</v>
      </c>
      <c r="Y5" s="35" t="s">
        <v>530</v>
      </c>
      <c r="Z5" s="35" t="s">
        <v>531</v>
      </c>
      <c r="AA5" s="35" t="s">
        <v>532</v>
      </c>
      <c r="AB5" s="35" t="s">
        <v>531</v>
      </c>
      <c r="AC5" s="35" t="s">
        <v>311</v>
      </c>
      <c r="AD5" s="35" t="s">
        <v>418</v>
      </c>
      <c r="AE5" s="35" t="s">
        <v>533</v>
      </c>
      <c r="AF5" s="35" t="s">
        <v>781</v>
      </c>
      <c r="AG5" s="35" t="s">
        <v>534</v>
      </c>
      <c r="AH5" s="35" t="s">
        <v>781</v>
      </c>
      <c r="AI5" s="35" t="s">
        <v>781</v>
      </c>
      <c r="AJ5" s="35" t="s">
        <v>781</v>
      </c>
      <c r="AK5" s="35" t="s">
        <v>781</v>
      </c>
      <c r="AL5" s="35" t="s">
        <v>781</v>
      </c>
      <c r="AM5" s="35" t="s">
        <v>534</v>
      </c>
      <c r="AN5" s="35" t="s">
        <v>537</v>
      </c>
      <c r="AO5" s="35" t="s">
        <v>538</v>
      </c>
      <c r="AP5" s="35" t="s">
        <v>539</v>
      </c>
      <c r="AQ5" s="35" t="s">
        <v>540</v>
      </c>
      <c r="AR5" s="35" t="s">
        <v>541</v>
      </c>
      <c r="AS5" s="35" t="s">
        <v>542</v>
      </c>
      <c r="AT5" s="37" t="s">
        <v>547</v>
      </c>
    </row>
    <row r="6" spans="1:46" ht="15" hidden="1" x14ac:dyDescent="0.25">
      <c r="A6" s="35" t="s">
        <v>550</v>
      </c>
      <c r="B6" s="46" t="s">
        <v>581</v>
      </c>
      <c r="C6" s="46" t="s">
        <v>680</v>
      </c>
      <c r="D6" s="46" t="s">
        <v>93</v>
      </c>
      <c r="E6" s="46" t="s">
        <v>92</v>
      </c>
      <c r="F6" s="46" t="s">
        <v>605</v>
      </c>
      <c r="G6" s="39" t="s">
        <v>527</v>
      </c>
      <c r="H6" s="46" t="s">
        <v>87</v>
      </c>
      <c r="I6" s="39"/>
      <c r="J6" s="38" t="str">
        <f>_xlfn.XLOOKUP(D6,[1]Relatorio!$C:$C,[1]Relatorio!$B:$B)</f>
        <v>423820-6</v>
      </c>
      <c r="K6" s="35" t="s">
        <v>543</v>
      </c>
      <c r="L6" s="46" t="s">
        <v>681</v>
      </c>
      <c r="M6" s="35" t="s">
        <v>544</v>
      </c>
      <c r="N6" s="46" t="s">
        <v>682</v>
      </c>
      <c r="O6" s="35" t="s">
        <v>545</v>
      </c>
      <c r="P6" s="46" t="s">
        <v>683</v>
      </c>
      <c r="Q6" s="37" t="s">
        <v>546</v>
      </c>
      <c r="R6" s="39"/>
      <c r="S6" s="42" t="s">
        <v>585</v>
      </c>
      <c r="T6" s="36" t="s">
        <v>95</v>
      </c>
      <c r="U6" s="36" t="s">
        <v>669</v>
      </c>
      <c r="V6" s="37" t="s">
        <v>684</v>
      </c>
      <c r="W6" s="35" t="s">
        <v>528</v>
      </c>
      <c r="X6" s="35" t="s">
        <v>529</v>
      </c>
      <c r="Y6" s="35" t="s">
        <v>530</v>
      </c>
      <c r="Z6" s="35" t="s">
        <v>531</v>
      </c>
      <c r="AA6" s="35" t="s">
        <v>532</v>
      </c>
      <c r="AB6" s="35" t="s">
        <v>531</v>
      </c>
      <c r="AC6" s="35" t="s">
        <v>311</v>
      </c>
      <c r="AD6" s="35" t="s">
        <v>418</v>
      </c>
      <c r="AE6" s="35" t="s">
        <v>533</v>
      </c>
      <c r="AF6" s="35" t="s">
        <v>781</v>
      </c>
      <c r="AG6" s="35" t="s">
        <v>534</v>
      </c>
      <c r="AH6" s="35" t="s">
        <v>781</v>
      </c>
      <c r="AI6" s="35" t="s">
        <v>781</v>
      </c>
      <c r="AJ6" s="35" t="s">
        <v>781</v>
      </c>
      <c r="AK6" s="35" t="s">
        <v>781</v>
      </c>
      <c r="AL6" s="35" t="s">
        <v>781</v>
      </c>
      <c r="AM6" s="35" t="s">
        <v>534</v>
      </c>
      <c r="AN6" s="35" t="s">
        <v>537</v>
      </c>
      <c r="AO6" s="35" t="s">
        <v>538</v>
      </c>
      <c r="AP6" s="35" t="s">
        <v>539</v>
      </c>
      <c r="AQ6" s="35" t="s">
        <v>540</v>
      </c>
      <c r="AR6" s="35" t="s">
        <v>541</v>
      </c>
      <c r="AS6" s="35" t="s">
        <v>542</v>
      </c>
      <c r="AT6" s="37" t="s">
        <v>547</v>
      </c>
    </row>
    <row r="7" spans="1:46" ht="15" hidden="1" x14ac:dyDescent="0.25">
      <c r="A7" s="35" t="s">
        <v>551</v>
      </c>
      <c r="B7" s="39" t="s">
        <v>580</v>
      </c>
      <c r="C7" s="39" t="s">
        <v>104</v>
      </c>
      <c r="D7" s="39" t="s">
        <v>100</v>
      </c>
      <c r="E7" s="39" t="s">
        <v>103</v>
      </c>
      <c r="F7" s="39" t="s">
        <v>102</v>
      </c>
      <c r="G7" s="39" t="s">
        <v>527</v>
      </c>
      <c r="H7" s="39" t="s">
        <v>97</v>
      </c>
      <c r="I7" s="39"/>
      <c r="J7" s="38" t="str">
        <f>_xlfn.XLOOKUP(D7,[1]Relatorio!$C:$C,[1]Relatorio!$B:$B)</f>
        <v>423821-4</v>
      </c>
      <c r="K7" s="35" t="s">
        <v>543</v>
      </c>
      <c r="L7" s="39" t="s">
        <v>685</v>
      </c>
      <c r="M7" s="35" t="s">
        <v>544</v>
      </c>
      <c r="N7" s="39" t="s">
        <v>686</v>
      </c>
      <c r="O7" s="35" t="s">
        <v>545</v>
      </c>
      <c r="P7" s="39" t="s">
        <v>687</v>
      </c>
      <c r="Q7" s="37" t="s">
        <v>546</v>
      </c>
      <c r="R7" s="39"/>
      <c r="S7" s="42" t="s">
        <v>585</v>
      </c>
      <c r="T7" s="36" t="s">
        <v>688</v>
      </c>
      <c r="U7" s="36" t="s">
        <v>669</v>
      </c>
      <c r="V7" s="37" t="s">
        <v>775</v>
      </c>
      <c r="W7" s="35" t="s">
        <v>528</v>
      </c>
      <c r="X7" s="35" t="s">
        <v>529</v>
      </c>
      <c r="Y7" s="35" t="s">
        <v>530</v>
      </c>
      <c r="Z7" s="35" t="s">
        <v>531</v>
      </c>
      <c r="AA7" s="35" t="s">
        <v>532</v>
      </c>
      <c r="AB7" s="35" t="s">
        <v>531</v>
      </c>
      <c r="AC7" s="35" t="s">
        <v>311</v>
      </c>
      <c r="AD7" s="35" t="s">
        <v>418</v>
      </c>
      <c r="AE7" s="35" t="s">
        <v>533</v>
      </c>
      <c r="AF7" s="35" t="s">
        <v>781</v>
      </c>
      <c r="AG7" s="35" t="s">
        <v>534</v>
      </c>
      <c r="AH7" s="35" t="s">
        <v>781</v>
      </c>
      <c r="AI7" s="35" t="s">
        <v>781</v>
      </c>
      <c r="AJ7" s="35" t="s">
        <v>781</v>
      </c>
      <c r="AK7" s="35" t="s">
        <v>781</v>
      </c>
      <c r="AL7" s="35" t="s">
        <v>781</v>
      </c>
      <c r="AM7" s="35" t="s">
        <v>534</v>
      </c>
      <c r="AN7" s="35" t="s">
        <v>537</v>
      </c>
      <c r="AO7" s="35" t="s">
        <v>538</v>
      </c>
      <c r="AP7" s="35" t="s">
        <v>539</v>
      </c>
      <c r="AQ7" s="35" t="s">
        <v>540</v>
      </c>
      <c r="AR7" s="35" t="s">
        <v>541</v>
      </c>
      <c r="AS7" s="35" t="s">
        <v>542</v>
      </c>
      <c r="AT7" s="37" t="s">
        <v>547</v>
      </c>
    </row>
    <row r="8" spans="1:46" ht="15" hidden="1" x14ac:dyDescent="0.2">
      <c r="A8" s="35" t="s">
        <v>552</v>
      </c>
      <c r="B8" s="39" t="s">
        <v>580</v>
      </c>
      <c r="C8" s="39" t="s">
        <v>80</v>
      </c>
      <c r="D8" s="39" t="s">
        <v>77</v>
      </c>
      <c r="E8" s="39" t="s">
        <v>79</v>
      </c>
      <c r="F8" s="39" t="s">
        <v>48</v>
      </c>
      <c r="G8" s="39" t="s">
        <v>527</v>
      </c>
      <c r="H8" s="39" t="s">
        <v>110</v>
      </c>
      <c r="I8" s="39"/>
      <c r="J8" s="38" t="str">
        <f>_xlfn.XLOOKUP(D8,[1]Relatorio!$C:$C,[1]Relatorio!$B:$B,0,0,-1)</f>
        <v>423822-2</v>
      </c>
      <c r="K8" s="35" t="s">
        <v>543</v>
      </c>
      <c r="L8" s="39" t="s">
        <v>689</v>
      </c>
      <c r="M8" s="35" t="s">
        <v>544</v>
      </c>
      <c r="N8" s="39" t="s">
        <v>690</v>
      </c>
      <c r="O8" s="35" t="s">
        <v>545</v>
      </c>
      <c r="P8" s="39" t="s">
        <v>691</v>
      </c>
      <c r="Q8" s="37" t="s">
        <v>546</v>
      </c>
      <c r="R8" s="39"/>
      <c r="S8" s="35" t="s">
        <v>535</v>
      </c>
      <c r="T8" s="36" t="s">
        <v>678</v>
      </c>
      <c r="U8" s="36" t="s">
        <v>548</v>
      </c>
      <c r="V8" s="37" t="s">
        <v>679</v>
      </c>
      <c r="W8" s="35" t="s">
        <v>528</v>
      </c>
      <c r="X8" s="35" t="s">
        <v>529</v>
      </c>
      <c r="Y8" s="35" t="s">
        <v>530</v>
      </c>
      <c r="Z8" s="35" t="s">
        <v>531</v>
      </c>
      <c r="AA8" s="35" t="s">
        <v>532</v>
      </c>
      <c r="AB8" s="35" t="s">
        <v>531</v>
      </c>
      <c r="AC8" s="35" t="s">
        <v>311</v>
      </c>
      <c r="AD8" s="35" t="s">
        <v>418</v>
      </c>
      <c r="AE8" s="35" t="s">
        <v>533</v>
      </c>
      <c r="AF8" s="35" t="s">
        <v>781</v>
      </c>
      <c r="AG8" s="35" t="s">
        <v>534</v>
      </c>
      <c r="AH8" s="35" t="s">
        <v>781</v>
      </c>
      <c r="AI8" s="35" t="s">
        <v>781</v>
      </c>
      <c r="AJ8" s="35" t="s">
        <v>781</v>
      </c>
      <c r="AK8" s="35" t="s">
        <v>781</v>
      </c>
      <c r="AL8" s="35" t="s">
        <v>781</v>
      </c>
      <c r="AM8" s="35" t="s">
        <v>534</v>
      </c>
      <c r="AN8" s="35" t="s">
        <v>537</v>
      </c>
      <c r="AO8" s="35" t="s">
        <v>538</v>
      </c>
      <c r="AP8" s="35" t="s">
        <v>539</v>
      </c>
      <c r="AQ8" s="35" t="s">
        <v>540</v>
      </c>
      <c r="AR8" s="35" t="s">
        <v>541</v>
      </c>
      <c r="AS8" s="35" t="s">
        <v>542</v>
      </c>
      <c r="AT8" s="37" t="s">
        <v>547</v>
      </c>
    </row>
    <row r="9" spans="1:46" ht="15" x14ac:dyDescent="0.25">
      <c r="A9" s="35" t="s">
        <v>553</v>
      </c>
      <c r="B9" s="39" t="s">
        <v>580</v>
      </c>
      <c r="C9" s="39" t="s">
        <v>122</v>
      </c>
      <c r="D9" s="39" t="s">
        <v>119</v>
      </c>
      <c r="E9" s="39" t="s">
        <v>121</v>
      </c>
      <c r="F9" s="39" t="s">
        <v>48</v>
      </c>
      <c r="G9" s="39" t="s">
        <v>527</v>
      </c>
      <c r="H9" s="39" t="s">
        <v>116</v>
      </c>
      <c r="I9" s="39"/>
      <c r="J9" s="38" t="s">
        <v>784</v>
      </c>
      <c r="K9" s="35" t="s">
        <v>543</v>
      </c>
      <c r="L9" s="39" t="s">
        <v>692</v>
      </c>
      <c r="M9" s="35" t="s">
        <v>544</v>
      </c>
      <c r="N9" s="39" t="s">
        <v>693</v>
      </c>
      <c r="O9" s="35" t="s">
        <v>545</v>
      </c>
      <c r="P9" s="39" t="s">
        <v>694</v>
      </c>
      <c r="Q9" s="37" t="s">
        <v>546</v>
      </c>
      <c r="R9" s="39"/>
      <c r="S9" s="42" t="s">
        <v>588</v>
      </c>
      <c r="T9" s="36" t="s">
        <v>127</v>
      </c>
      <c r="U9" s="36" t="s">
        <v>669</v>
      </c>
      <c r="V9" s="37" t="s">
        <v>695</v>
      </c>
      <c r="W9" s="35" t="s">
        <v>528</v>
      </c>
      <c r="X9" s="35" t="s">
        <v>529</v>
      </c>
      <c r="Y9" s="35" t="s">
        <v>530</v>
      </c>
      <c r="Z9" s="35" t="s">
        <v>531</v>
      </c>
      <c r="AA9" s="35" t="s">
        <v>532</v>
      </c>
      <c r="AB9" s="35" t="s">
        <v>531</v>
      </c>
      <c r="AC9" s="35" t="s">
        <v>311</v>
      </c>
      <c r="AD9" s="35" t="s">
        <v>418</v>
      </c>
      <c r="AE9" s="35" t="s">
        <v>533</v>
      </c>
      <c r="AF9" s="35" t="s">
        <v>781</v>
      </c>
      <c r="AG9" s="35" t="s">
        <v>534</v>
      </c>
      <c r="AH9" s="35" t="s">
        <v>781</v>
      </c>
      <c r="AI9" s="35" t="s">
        <v>781</v>
      </c>
      <c r="AJ9" s="35" t="s">
        <v>781</v>
      </c>
      <c r="AK9" s="35" t="s">
        <v>781</v>
      </c>
      <c r="AL9" s="35" t="s">
        <v>781</v>
      </c>
      <c r="AM9" s="35" t="s">
        <v>534</v>
      </c>
      <c r="AN9" s="35" t="s">
        <v>537</v>
      </c>
      <c r="AO9" s="35" t="s">
        <v>538</v>
      </c>
      <c r="AP9" s="35" t="s">
        <v>539</v>
      </c>
      <c r="AQ9" s="35" t="s">
        <v>540</v>
      </c>
      <c r="AR9" s="35" t="s">
        <v>541</v>
      </c>
      <c r="AS9" s="35" t="s">
        <v>542</v>
      </c>
      <c r="AT9" s="37" t="s">
        <v>547</v>
      </c>
    </row>
    <row r="10" spans="1:46" ht="15" hidden="1" x14ac:dyDescent="0.2">
      <c r="A10" s="35" t="s">
        <v>554</v>
      </c>
      <c r="B10" s="39" t="s">
        <v>580</v>
      </c>
      <c r="C10" s="39" t="s">
        <v>136</v>
      </c>
      <c r="D10" s="39" t="s">
        <v>132</v>
      </c>
      <c r="E10" s="39" t="s">
        <v>135</v>
      </c>
      <c r="F10" s="39" t="s">
        <v>134</v>
      </c>
      <c r="G10" s="39" t="s">
        <v>527</v>
      </c>
      <c r="H10" s="39" t="s">
        <v>129</v>
      </c>
      <c r="I10" s="39"/>
      <c r="J10" s="38" t="str">
        <f>_xlfn.XLOOKUP(D10,[1]Relatorio!$C:$C,[1]Relatorio!$B:$B)</f>
        <v>423823-X</v>
      </c>
      <c r="K10" s="35" t="s">
        <v>543</v>
      </c>
      <c r="L10" s="39" t="s">
        <v>696</v>
      </c>
      <c r="M10" s="35" t="s">
        <v>544</v>
      </c>
      <c r="N10" s="39" t="s">
        <v>697</v>
      </c>
      <c r="O10" s="35" t="s">
        <v>545</v>
      </c>
      <c r="P10" s="39" t="s">
        <v>698</v>
      </c>
      <c r="Q10" s="37" t="s">
        <v>546</v>
      </c>
      <c r="R10" s="39"/>
      <c r="S10" s="35" t="s">
        <v>535</v>
      </c>
      <c r="T10" s="36" t="s">
        <v>699</v>
      </c>
      <c r="U10" s="36" t="s">
        <v>552</v>
      </c>
      <c r="V10" s="37" t="s">
        <v>700</v>
      </c>
      <c r="W10" s="35" t="s">
        <v>528</v>
      </c>
      <c r="X10" s="35" t="s">
        <v>529</v>
      </c>
      <c r="Y10" s="35" t="s">
        <v>530</v>
      </c>
      <c r="Z10" s="35" t="s">
        <v>531</v>
      </c>
      <c r="AA10" s="35" t="s">
        <v>532</v>
      </c>
      <c r="AB10" s="35" t="s">
        <v>531</v>
      </c>
      <c r="AC10" s="35" t="s">
        <v>311</v>
      </c>
      <c r="AD10" s="35" t="s">
        <v>418</v>
      </c>
      <c r="AE10" s="35" t="s">
        <v>533</v>
      </c>
      <c r="AF10" s="35" t="s">
        <v>781</v>
      </c>
      <c r="AG10" s="35" t="s">
        <v>534</v>
      </c>
      <c r="AH10" s="35" t="s">
        <v>781</v>
      </c>
      <c r="AI10" s="35" t="s">
        <v>781</v>
      </c>
      <c r="AJ10" s="35" t="s">
        <v>781</v>
      </c>
      <c r="AK10" s="35" t="s">
        <v>781</v>
      </c>
      <c r="AL10" s="35" t="s">
        <v>781</v>
      </c>
      <c r="AM10" s="35" t="s">
        <v>534</v>
      </c>
      <c r="AN10" s="35" t="s">
        <v>537</v>
      </c>
      <c r="AO10" s="35" t="s">
        <v>538</v>
      </c>
      <c r="AP10" s="35" t="s">
        <v>539</v>
      </c>
      <c r="AQ10" s="35" t="s">
        <v>540</v>
      </c>
      <c r="AR10" s="35" t="s">
        <v>541</v>
      </c>
      <c r="AS10" s="35" t="s">
        <v>542</v>
      </c>
      <c r="AT10" s="37" t="s">
        <v>547</v>
      </c>
    </row>
    <row r="11" spans="1:46" ht="15" hidden="1" x14ac:dyDescent="0.2">
      <c r="A11" s="35" t="s">
        <v>555</v>
      </c>
      <c r="B11" s="39" t="s">
        <v>580</v>
      </c>
      <c r="C11" s="39" t="s">
        <v>149</v>
      </c>
      <c r="D11" s="39" t="s">
        <v>145</v>
      </c>
      <c r="E11" s="39" t="s">
        <v>148</v>
      </c>
      <c r="F11" s="39" t="s">
        <v>147</v>
      </c>
      <c r="G11" s="39" t="s">
        <v>527</v>
      </c>
      <c r="H11" s="39" t="s">
        <v>142</v>
      </c>
      <c r="I11" s="39"/>
      <c r="J11" s="38" t="str">
        <f>_xlfn.XLOOKUP(D11,[1]Relatorio!$C:$C,[1]Relatorio!$B:$B)</f>
        <v>423824-9</v>
      </c>
      <c r="K11" s="35" t="s">
        <v>543</v>
      </c>
      <c r="L11" s="39" t="s">
        <v>681</v>
      </c>
      <c r="M11" s="35" t="s">
        <v>544</v>
      </c>
      <c r="N11" s="39" t="s">
        <v>682</v>
      </c>
      <c r="O11" s="35" t="s">
        <v>545</v>
      </c>
      <c r="P11" s="39" t="s">
        <v>683</v>
      </c>
      <c r="Q11" s="37" t="s">
        <v>546</v>
      </c>
      <c r="R11" s="39"/>
      <c r="S11" s="35" t="s">
        <v>535</v>
      </c>
      <c r="T11" s="36" t="s">
        <v>154</v>
      </c>
      <c r="U11" s="36" t="s">
        <v>550</v>
      </c>
      <c r="V11" s="37" t="s">
        <v>701</v>
      </c>
      <c r="W11" s="35" t="s">
        <v>528</v>
      </c>
      <c r="X11" s="35" t="s">
        <v>529</v>
      </c>
      <c r="Y11" s="35" t="s">
        <v>530</v>
      </c>
      <c r="Z11" s="35" t="s">
        <v>531</v>
      </c>
      <c r="AA11" s="35" t="s">
        <v>532</v>
      </c>
      <c r="AB11" s="35" t="s">
        <v>531</v>
      </c>
      <c r="AC11" s="35" t="s">
        <v>311</v>
      </c>
      <c r="AD11" s="35" t="s">
        <v>418</v>
      </c>
      <c r="AE11" s="35" t="s">
        <v>533</v>
      </c>
      <c r="AF11" s="35" t="s">
        <v>781</v>
      </c>
      <c r="AG11" s="35" t="s">
        <v>534</v>
      </c>
      <c r="AH11" s="35" t="s">
        <v>781</v>
      </c>
      <c r="AI11" s="35" t="s">
        <v>781</v>
      </c>
      <c r="AJ11" s="35" t="s">
        <v>781</v>
      </c>
      <c r="AK11" s="35" t="s">
        <v>781</v>
      </c>
      <c r="AL11" s="35" t="s">
        <v>781</v>
      </c>
      <c r="AM11" s="35" t="s">
        <v>534</v>
      </c>
      <c r="AN11" s="35" t="s">
        <v>537</v>
      </c>
      <c r="AO11" s="35" t="s">
        <v>538</v>
      </c>
      <c r="AP11" s="35" t="s">
        <v>539</v>
      </c>
      <c r="AQ11" s="35" t="s">
        <v>540</v>
      </c>
      <c r="AR11" s="35" t="s">
        <v>541</v>
      </c>
      <c r="AS11" s="35" t="s">
        <v>542</v>
      </c>
      <c r="AT11" s="37" t="s">
        <v>547</v>
      </c>
    </row>
    <row r="12" spans="1:46" ht="15" x14ac:dyDescent="0.25">
      <c r="A12" s="35" t="s">
        <v>556</v>
      </c>
      <c r="B12" s="39" t="s">
        <v>580</v>
      </c>
      <c r="C12" s="39" t="s">
        <v>163</v>
      </c>
      <c r="D12" s="40" t="s">
        <v>783</v>
      </c>
      <c r="E12" s="39" t="s">
        <v>162</v>
      </c>
      <c r="F12" s="47" t="s">
        <v>637</v>
      </c>
      <c r="G12" s="39" t="s">
        <v>536</v>
      </c>
      <c r="H12" s="39" t="s">
        <v>156</v>
      </c>
      <c r="I12" s="39"/>
      <c r="J12" s="38" t="e">
        <f>_xlfn.XLOOKUP(D12,[2]Relatorio!$C:$C,[2]Relatorio!$B:$B)</f>
        <v>#N/A</v>
      </c>
      <c r="K12" s="35" t="s">
        <v>543</v>
      </c>
      <c r="L12" s="39" t="s">
        <v>702</v>
      </c>
      <c r="M12" s="35" t="s">
        <v>544</v>
      </c>
      <c r="N12" s="39" t="s">
        <v>703</v>
      </c>
      <c r="O12" s="35" t="s">
        <v>545</v>
      </c>
      <c r="P12" s="39" t="s">
        <v>704</v>
      </c>
      <c r="Q12" s="37" t="s">
        <v>546</v>
      </c>
      <c r="R12" s="39"/>
      <c r="S12" s="35" t="s">
        <v>535</v>
      </c>
      <c r="T12" s="36" t="s">
        <v>705</v>
      </c>
      <c r="U12" s="36" t="s">
        <v>549</v>
      </c>
      <c r="V12" s="37" t="s">
        <v>706</v>
      </c>
      <c r="W12" s="35" t="s">
        <v>528</v>
      </c>
      <c r="X12" s="35" t="s">
        <v>529</v>
      </c>
      <c r="Y12" s="35" t="s">
        <v>530</v>
      </c>
      <c r="Z12" s="35" t="s">
        <v>531</v>
      </c>
      <c r="AA12" s="35" t="s">
        <v>532</v>
      </c>
      <c r="AB12" s="35" t="s">
        <v>531</v>
      </c>
      <c r="AC12" s="35" t="s">
        <v>311</v>
      </c>
      <c r="AD12" s="35" t="s">
        <v>418</v>
      </c>
      <c r="AE12" s="35" t="s">
        <v>533</v>
      </c>
      <c r="AF12" s="35" t="s">
        <v>781</v>
      </c>
      <c r="AG12" s="35" t="s">
        <v>534</v>
      </c>
      <c r="AH12" s="35" t="s">
        <v>781</v>
      </c>
      <c r="AI12" s="35" t="s">
        <v>781</v>
      </c>
      <c r="AJ12" s="35" t="s">
        <v>781</v>
      </c>
      <c r="AK12" s="35" t="s">
        <v>781</v>
      </c>
      <c r="AL12" s="35" t="s">
        <v>781</v>
      </c>
      <c r="AM12" s="35" t="s">
        <v>534</v>
      </c>
      <c r="AN12" s="35" t="s">
        <v>537</v>
      </c>
      <c r="AO12" s="35" t="s">
        <v>538</v>
      </c>
      <c r="AP12" s="35" t="s">
        <v>539</v>
      </c>
      <c r="AQ12" s="35" t="s">
        <v>540</v>
      </c>
      <c r="AR12" s="35" t="s">
        <v>541</v>
      </c>
      <c r="AS12" s="35" t="s">
        <v>542</v>
      </c>
      <c r="AT12" s="37" t="s">
        <v>547</v>
      </c>
    </row>
    <row r="13" spans="1:46" ht="15" hidden="1" x14ac:dyDescent="0.25">
      <c r="A13" s="35" t="s">
        <v>557</v>
      </c>
      <c r="B13" s="39" t="s">
        <v>581</v>
      </c>
      <c r="C13" s="39" t="s">
        <v>176</v>
      </c>
      <c r="D13" s="39" t="s">
        <v>172</v>
      </c>
      <c r="E13" s="39" t="s">
        <v>175</v>
      </c>
      <c r="F13" s="39" t="s">
        <v>174</v>
      </c>
      <c r="G13" s="39" t="s">
        <v>527</v>
      </c>
      <c r="H13" s="39" t="s">
        <v>169</v>
      </c>
      <c r="I13" s="39"/>
      <c r="J13" s="38" t="str">
        <f>_xlfn.XLOOKUP(D13,[1]Relatorio!$C:$C,[1]Relatorio!$B:$B)</f>
        <v>423825-7</v>
      </c>
      <c r="K13" s="35" t="s">
        <v>543</v>
      </c>
      <c r="L13" s="39" t="s">
        <v>681</v>
      </c>
      <c r="M13" s="35" t="s">
        <v>544</v>
      </c>
      <c r="N13" s="39" t="s">
        <v>682</v>
      </c>
      <c r="O13" s="35" t="s">
        <v>545</v>
      </c>
      <c r="P13" s="39" t="s">
        <v>683</v>
      </c>
      <c r="Q13" s="37" t="s">
        <v>546</v>
      </c>
      <c r="R13" s="39"/>
      <c r="S13" s="42" t="s">
        <v>585</v>
      </c>
      <c r="T13" s="36" t="s">
        <v>181</v>
      </c>
      <c r="U13" s="36" t="s">
        <v>669</v>
      </c>
      <c r="V13" s="37" t="s">
        <v>776</v>
      </c>
      <c r="W13" s="35" t="s">
        <v>528</v>
      </c>
      <c r="X13" s="35" t="s">
        <v>529</v>
      </c>
      <c r="Y13" s="35" t="s">
        <v>530</v>
      </c>
      <c r="Z13" s="35" t="s">
        <v>531</v>
      </c>
      <c r="AA13" s="35" t="s">
        <v>532</v>
      </c>
      <c r="AB13" s="35" t="s">
        <v>531</v>
      </c>
      <c r="AC13" s="35" t="s">
        <v>311</v>
      </c>
      <c r="AD13" s="35" t="s">
        <v>418</v>
      </c>
      <c r="AE13" s="35" t="s">
        <v>533</v>
      </c>
      <c r="AF13" s="35" t="s">
        <v>781</v>
      </c>
      <c r="AG13" s="35" t="s">
        <v>534</v>
      </c>
      <c r="AH13" s="35" t="s">
        <v>781</v>
      </c>
      <c r="AI13" s="35" t="s">
        <v>781</v>
      </c>
      <c r="AJ13" s="35" t="s">
        <v>781</v>
      </c>
      <c r="AK13" s="35" t="s">
        <v>781</v>
      </c>
      <c r="AL13" s="35" t="s">
        <v>781</v>
      </c>
      <c r="AM13" s="35" t="s">
        <v>534</v>
      </c>
      <c r="AN13" s="35" t="s">
        <v>537</v>
      </c>
      <c r="AO13" s="35" t="s">
        <v>538</v>
      </c>
      <c r="AP13" s="35" t="s">
        <v>539</v>
      </c>
      <c r="AQ13" s="35" t="s">
        <v>540</v>
      </c>
      <c r="AR13" s="35" t="s">
        <v>541</v>
      </c>
      <c r="AS13" s="35" t="s">
        <v>542</v>
      </c>
      <c r="AT13" s="37" t="s">
        <v>547</v>
      </c>
    </row>
    <row r="14" spans="1:46" ht="15" hidden="1" x14ac:dyDescent="0.2">
      <c r="A14" s="35" t="s">
        <v>558</v>
      </c>
      <c r="B14" s="39" t="s">
        <v>580</v>
      </c>
      <c r="C14" s="39" t="s">
        <v>189</v>
      </c>
      <c r="D14" s="39" t="s">
        <v>186</v>
      </c>
      <c r="E14" s="39" t="s">
        <v>188</v>
      </c>
      <c r="F14" s="39" t="s">
        <v>102</v>
      </c>
      <c r="G14" s="39" t="s">
        <v>527</v>
      </c>
      <c r="H14" s="39" t="s">
        <v>183</v>
      </c>
      <c r="I14" s="39"/>
      <c r="J14" s="38" t="str">
        <f>_xlfn.XLOOKUP(D14,[1]Relatorio!$C:$C,[1]Relatorio!$B:$B)</f>
        <v>423826-5</v>
      </c>
      <c r="K14" s="35" t="s">
        <v>543</v>
      </c>
      <c r="L14" s="39" t="s">
        <v>681</v>
      </c>
      <c r="M14" s="35" t="s">
        <v>544</v>
      </c>
      <c r="N14" s="39" t="s">
        <v>682</v>
      </c>
      <c r="O14" s="35" t="s">
        <v>545</v>
      </c>
      <c r="P14" s="39" t="s">
        <v>683</v>
      </c>
      <c r="Q14" s="37" t="s">
        <v>546</v>
      </c>
      <c r="R14" s="39"/>
      <c r="S14" s="35" t="s">
        <v>535</v>
      </c>
      <c r="T14" s="36" t="s">
        <v>707</v>
      </c>
      <c r="U14" s="36" t="s">
        <v>536</v>
      </c>
      <c r="V14" s="37" t="s">
        <v>708</v>
      </c>
      <c r="W14" s="35" t="s">
        <v>528</v>
      </c>
      <c r="X14" s="35" t="s">
        <v>529</v>
      </c>
      <c r="Y14" s="35" t="s">
        <v>530</v>
      </c>
      <c r="Z14" s="35" t="s">
        <v>531</v>
      </c>
      <c r="AA14" s="35" t="s">
        <v>532</v>
      </c>
      <c r="AB14" s="35" t="s">
        <v>531</v>
      </c>
      <c r="AC14" s="35" t="s">
        <v>311</v>
      </c>
      <c r="AD14" s="35" t="s">
        <v>418</v>
      </c>
      <c r="AE14" s="35" t="s">
        <v>533</v>
      </c>
      <c r="AF14" s="35" t="s">
        <v>781</v>
      </c>
      <c r="AG14" s="35" t="s">
        <v>534</v>
      </c>
      <c r="AH14" s="35" t="s">
        <v>781</v>
      </c>
      <c r="AI14" s="35" t="s">
        <v>781</v>
      </c>
      <c r="AJ14" s="35" t="s">
        <v>781</v>
      </c>
      <c r="AK14" s="35" t="s">
        <v>781</v>
      </c>
      <c r="AL14" s="35" t="s">
        <v>781</v>
      </c>
      <c r="AM14" s="35" t="s">
        <v>534</v>
      </c>
      <c r="AN14" s="35" t="s">
        <v>537</v>
      </c>
      <c r="AO14" s="35" t="s">
        <v>538</v>
      </c>
      <c r="AP14" s="35" t="s">
        <v>539</v>
      </c>
      <c r="AQ14" s="35" t="s">
        <v>540</v>
      </c>
      <c r="AR14" s="35" t="s">
        <v>541</v>
      </c>
      <c r="AS14" s="35" t="s">
        <v>542</v>
      </c>
      <c r="AT14" s="37" t="s">
        <v>547</v>
      </c>
    </row>
    <row r="15" spans="1:46" ht="15" hidden="1" x14ac:dyDescent="0.2">
      <c r="A15" s="35" t="s">
        <v>559</v>
      </c>
      <c r="B15" s="39" t="s">
        <v>581</v>
      </c>
      <c r="C15" s="39" t="s">
        <v>201</v>
      </c>
      <c r="D15" s="39" t="s">
        <v>197</v>
      </c>
      <c r="E15" s="39" t="s">
        <v>200</v>
      </c>
      <c r="F15" s="39" t="s">
        <v>199</v>
      </c>
      <c r="G15" s="39" t="s">
        <v>527</v>
      </c>
      <c r="H15" s="39" t="s">
        <v>194</v>
      </c>
      <c r="I15" s="39"/>
      <c r="J15" s="38" t="str">
        <f>_xlfn.XLOOKUP(D15,[1]Relatorio!$C:$C,[1]Relatorio!$B:$B)</f>
        <v>423827-3</v>
      </c>
      <c r="K15" s="35" t="s">
        <v>543</v>
      </c>
      <c r="L15" s="39" t="s">
        <v>681</v>
      </c>
      <c r="M15" s="35" t="s">
        <v>544</v>
      </c>
      <c r="N15" s="39" t="s">
        <v>682</v>
      </c>
      <c r="O15" s="35" t="s">
        <v>545</v>
      </c>
      <c r="P15" s="39" t="s">
        <v>683</v>
      </c>
      <c r="Q15" s="37" t="s">
        <v>546</v>
      </c>
      <c r="R15" s="39"/>
      <c r="S15" s="35" t="s">
        <v>535</v>
      </c>
      <c r="T15" s="36" t="s">
        <v>205</v>
      </c>
      <c r="U15" s="36" t="s">
        <v>536</v>
      </c>
      <c r="V15" s="37" t="s">
        <v>709</v>
      </c>
      <c r="W15" s="35" t="s">
        <v>528</v>
      </c>
      <c r="X15" s="35" t="s">
        <v>529</v>
      </c>
      <c r="Y15" s="35" t="s">
        <v>530</v>
      </c>
      <c r="Z15" s="35" t="s">
        <v>531</v>
      </c>
      <c r="AA15" s="35" t="s">
        <v>532</v>
      </c>
      <c r="AB15" s="35" t="s">
        <v>531</v>
      </c>
      <c r="AC15" s="35" t="s">
        <v>311</v>
      </c>
      <c r="AD15" s="35" t="s">
        <v>418</v>
      </c>
      <c r="AE15" s="35" t="s">
        <v>533</v>
      </c>
      <c r="AF15" s="35" t="s">
        <v>781</v>
      </c>
      <c r="AG15" s="35" t="s">
        <v>534</v>
      </c>
      <c r="AH15" s="35" t="s">
        <v>781</v>
      </c>
      <c r="AI15" s="35" t="s">
        <v>781</v>
      </c>
      <c r="AJ15" s="35" t="s">
        <v>781</v>
      </c>
      <c r="AK15" s="35" t="s">
        <v>781</v>
      </c>
      <c r="AL15" s="35" t="s">
        <v>781</v>
      </c>
      <c r="AM15" s="35" t="s">
        <v>534</v>
      </c>
      <c r="AN15" s="35" t="s">
        <v>537</v>
      </c>
      <c r="AO15" s="35" t="s">
        <v>538</v>
      </c>
      <c r="AP15" s="35" t="s">
        <v>539</v>
      </c>
      <c r="AQ15" s="35" t="s">
        <v>540</v>
      </c>
      <c r="AR15" s="35" t="s">
        <v>541</v>
      </c>
      <c r="AS15" s="35" t="s">
        <v>542</v>
      </c>
      <c r="AT15" s="37" t="s">
        <v>547</v>
      </c>
    </row>
    <row r="16" spans="1:46" ht="15" hidden="1" x14ac:dyDescent="0.25">
      <c r="A16" s="35" t="s">
        <v>560</v>
      </c>
      <c r="B16" s="39" t="s">
        <v>581</v>
      </c>
      <c r="C16" s="39" t="s">
        <v>214</v>
      </c>
      <c r="D16" s="39" t="s">
        <v>216</v>
      </c>
      <c r="E16" s="39" t="s">
        <v>213</v>
      </c>
      <c r="F16" s="39" t="s">
        <v>212</v>
      </c>
      <c r="G16" s="39" t="s">
        <v>527</v>
      </c>
      <c r="H16" s="39" t="s">
        <v>207</v>
      </c>
      <c r="I16" s="39"/>
      <c r="J16" s="38" t="str">
        <f>_xlfn.XLOOKUP(D16,[2]Relatorio!$C:$C,[2]Relatorio!$B:$B)</f>
        <v>423877-0</v>
      </c>
      <c r="K16" s="35" t="s">
        <v>543</v>
      </c>
      <c r="L16" s="39" t="s">
        <v>710</v>
      </c>
      <c r="M16" s="35" t="s">
        <v>544</v>
      </c>
      <c r="N16" s="39" t="s">
        <v>711</v>
      </c>
      <c r="O16" s="35" t="s">
        <v>545</v>
      </c>
      <c r="P16" s="39" t="s">
        <v>712</v>
      </c>
      <c r="Q16" s="37" t="s">
        <v>546</v>
      </c>
      <c r="R16" s="39"/>
      <c r="S16" s="42" t="s">
        <v>585</v>
      </c>
      <c r="T16" s="36" t="s">
        <v>219</v>
      </c>
      <c r="U16" s="36" t="s">
        <v>669</v>
      </c>
      <c r="V16" s="37" t="s">
        <v>713</v>
      </c>
      <c r="W16" s="35" t="s">
        <v>528</v>
      </c>
      <c r="X16" s="35" t="s">
        <v>529</v>
      </c>
      <c r="Y16" s="35" t="s">
        <v>530</v>
      </c>
      <c r="Z16" s="35" t="s">
        <v>531</v>
      </c>
      <c r="AA16" s="35" t="s">
        <v>532</v>
      </c>
      <c r="AB16" s="35" t="s">
        <v>531</v>
      </c>
      <c r="AC16" s="35" t="s">
        <v>311</v>
      </c>
      <c r="AD16" s="35" t="s">
        <v>418</v>
      </c>
      <c r="AE16" s="35" t="s">
        <v>533</v>
      </c>
      <c r="AF16" s="35" t="s">
        <v>781</v>
      </c>
      <c r="AG16" s="35" t="s">
        <v>534</v>
      </c>
      <c r="AH16" s="35" t="s">
        <v>781</v>
      </c>
      <c r="AI16" s="35" t="s">
        <v>781</v>
      </c>
      <c r="AJ16" s="35" t="s">
        <v>781</v>
      </c>
      <c r="AK16" s="35" t="s">
        <v>781</v>
      </c>
      <c r="AL16" s="35" t="s">
        <v>781</v>
      </c>
      <c r="AM16" s="35" t="s">
        <v>534</v>
      </c>
      <c r="AN16" s="35" t="s">
        <v>537</v>
      </c>
      <c r="AO16" s="35" t="s">
        <v>538</v>
      </c>
      <c r="AP16" s="35" t="s">
        <v>539</v>
      </c>
      <c r="AQ16" s="35" t="s">
        <v>540</v>
      </c>
      <c r="AR16" s="35" t="s">
        <v>541</v>
      </c>
      <c r="AS16" s="35" t="s">
        <v>542</v>
      </c>
      <c r="AT16" s="37" t="s">
        <v>547</v>
      </c>
    </row>
    <row r="17" spans="1:46" ht="15" hidden="1" x14ac:dyDescent="0.25">
      <c r="A17" s="35" t="s">
        <v>561</v>
      </c>
      <c r="B17" s="39" t="s">
        <v>581</v>
      </c>
      <c r="C17" s="39" t="s">
        <v>227</v>
      </c>
      <c r="D17" s="39" t="s">
        <v>224</v>
      </c>
      <c r="E17" s="39" t="s">
        <v>226</v>
      </c>
      <c r="F17" s="39" t="s">
        <v>134</v>
      </c>
      <c r="G17" s="39" t="s">
        <v>527</v>
      </c>
      <c r="H17" s="39" t="s">
        <v>221</v>
      </c>
      <c r="I17" s="39"/>
      <c r="J17" s="38" t="str">
        <f>_xlfn.XLOOKUP(D17,[1]Relatorio!$C:$C,[1]Relatorio!$B:$B)</f>
        <v>423828-1</v>
      </c>
      <c r="K17" s="35" t="s">
        <v>543</v>
      </c>
      <c r="L17" s="39" t="s">
        <v>714</v>
      </c>
      <c r="M17" s="35" t="s">
        <v>544</v>
      </c>
      <c r="N17" s="39" t="s">
        <v>715</v>
      </c>
      <c r="O17" s="35" t="s">
        <v>545</v>
      </c>
      <c r="P17" s="39" t="s">
        <v>716</v>
      </c>
      <c r="Q17" s="37" t="s">
        <v>546</v>
      </c>
      <c r="R17" s="39"/>
      <c r="S17" s="42" t="s">
        <v>585</v>
      </c>
      <c r="T17" s="36" t="s">
        <v>181</v>
      </c>
      <c r="U17" s="36" t="s">
        <v>669</v>
      </c>
      <c r="V17" s="37" t="s">
        <v>777</v>
      </c>
      <c r="W17" s="35" t="s">
        <v>528</v>
      </c>
      <c r="X17" s="35" t="s">
        <v>529</v>
      </c>
      <c r="Y17" s="35" t="s">
        <v>530</v>
      </c>
      <c r="Z17" s="35" t="s">
        <v>531</v>
      </c>
      <c r="AA17" s="35" t="s">
        <v>532</v>
      </c>
      <c r="AB17" s="35" t="s">
        <v>531</v>
      </c>
      <c r="AC17" s="35" t="s">
        <v>311</v>
      </c>
      <c r="AD17" s="35" t="s">
        <v>418</v>
      </c>
      <c r="AE17" s="35" t="s">
        <v>533</v>
      </c>
      <c r="AF17" s="35" t="s">
        <v>781</v>
      </c>
      <c r="AG17" s="35" t="s">
        <v>534</v>
      </c>
      <c r="AH17" s="35" t="s">
        <v>781</v>
      </c>
      <c r="AI17" s="35" t="s">
        <v>781</v>
      </c>
      <c r="AJ17" s="35" t="s">
        <v>781</v>
      </c>
      <c r="AK17" s="35" t="s">
        <v>781</v>
      </c>
      <c r="AL17" s="35" t="s">
        <v>781</v>
      </c>
      <c r="AM17" s="35" t="s">
        <v>534</v>
      </c>
      <c r="AN17" s="35" t="s">
        <v>537</v>
      </c>
      <c r="AO17" s="35" t="s">
        <v>538</v>
      </c>
      <c r="AP17" s="35" t="s">
        <v>539</v>
      </c>
      <c r="AQ17" s="35" t="s">
        <v>540</v>
      </c>
      <c r="AR17" s="35" t="s">
        <v>541</v>
      </c>
      <c r="AS17" s="35" t="s">
        <v>542</v>
      </c>
      <c r="AT17" s="37" t="s">
        <v>547</v>
      </c>
    </row>
    <row r="18" spans="1:46" ht="15" x14ac:dyDescent="0.25">
      <c r="A18" s="35" t="s">
        <v>562</v>
      </c>
      <c r="B18" s="39" t="s">
        <v>581</v>
      </c>
      <c r="C18" s="39" t="s">
        <v>239</v>
      </c>
      <c r="D18" s="39" t="s">
        <v>235</v>
      </c>
      <c r="E18" s="39" t="s">
        <v>238</v>
      </c>
      <c r="F18" s="39" t="s">
        <v>237</v>
      </c>
      <c r="G18" s="39" t="s">
        <v>527</v>
      </c>
      <c r="H18" s="39" t="s">
        <v>232</v>
      </c>
      <c r="I18" s="39"/>
      <c r="J18" s="38" t="s">
        <v>786</v>
      </c>
      <c r="K18" s="35" t="s">
        <v>543</v>
      </c>
      <c r="L18" s="39" t="s">
        <v>717</v>
      </c>
      <c r="M18" s="35" t="s">
        <v>544</v>
      </c>
      <c r="N18" s="39" t="s">
        <v>718</v>
      </c>
      <c r="O18" s="35" t="s">
        <v>545</v>
      </c>
      <c r="P18" s="39" t="s">
        <v>719</v>
      </c>
      <c r="Q18" s="37" t="s">
        <v>546</v>
      </c>
      <c r="R18" s="39"/>
      <c r="S18" s="42" t="s">
        <v>585</v>
      </c>
      <c r="T18" s="36" t="s">
        <v>243</v>
      </c>
      <c r="U18" s="36" t="s">
        <v>669</v>
      </c>
      <c r="V18" s="37" t="s">
        <v>778</v>
      </c>
      <c r="W18" s="35" t="s">
        <v>528</v>
      </c>
      <c r="X18" s="35" t="s">
        <v>529</v>
      </c>
      <c r="Y18" s="35" t="s">
        <v>530</v>
      </c>
      <c r="Z18" s="35" t="s">
        <v>531</v>
      </c>
      <c r="AA18" s="35" t="s">
        <v>532</v>
      </c>
      <c r="AB18" s="35" t="s">
        <v>531</v>
      </c>
      <c r="AC18" s="35" t="s">
        <v>311</v>
      </c>
      <c r="AD18" s="35" t="s">
        <v>418</v>
      </c>
      <c r="AE18" s="35" t="s">
        <v>533</v>
      </c>
      <c r="AF18" s="35" t="s">
        <v>781</v>
      </c>
      <c r="AG18" s="35" t="s">
        <v>534</v>
      </c>
      <c r="AH18" s="35" t="s">
        <v>781</v>
      </c>
      <c r="AI18" s="35" t="s">
        <v>781</v>
      </c>
      <c r="AJ18" s="35" t="s">
        <v>781</v>
      </c>
      <c r="AK18" s="35" t="s">
        <v>781</v>
      </c>
      <c r="AL18" s="35" t="s">
        <v>781</v>
      </c>
      <c r="AM18" s="35" t="s">
        <v>534</v>
      </c>
      <c r="AN18" s="35" t="s">
        <v>537</v>
      </c>
      <c r="AO18" s="35" t="s">
        <v>538</v>
      </c>
      <c r="AP18" s="35" t="s">
        <v>539</v>
      </c>
      <c r="AQ18" s="35" t="s">
        <v>540</v>
      </c>
      <c r="AR18" s="35" t="s">
        <v>541</v>
      </c>
      <c r="AS18" s="35" t="s">
        <v>542</v>
      </c>
      <c r="AT18" s="37" t="s">
        <v>547</v>
      </c>
    </row>
    <row r="19" spans="1:46" ht="15" hidden="1" x14ac:dyDescent="0.2">
      <c r="A19" s="35" t="s">
        <v>563</v>
      </c>
      <c r="B19" s="39" t="s">
        <v>580</v>
      </c>
      <c r="C19" s="39" t="s">
        <v>251</v>
      </c>
      <c r="D19" s="39" t="s">
        <v>248</v>
      </c>
      <c r="E19" s="39" t="s">
        <v>250</v>
      </c>
      <c r="F19" s="39" t="s">
        <v>65</v>
      </c>
      <c r="G19" s="39" t="s">
        <v>527</v>
      </c>
      <c r="H19" s="39" t="s">
        <v>245</v>
      </c>
      <c r="I19" s="39"/>
      <c r="J19" s="38" t="str">
        <f>_xlfn.XLOOKUP(D19,[1]Relatorio!$C:$C,[1]Relatorio!$B:$B)</f>
        <v>423829-0</v>
      </c>
      <c r="K19" s="35" t="s">
        <v>543</v>
      </c>
      <c r="L19" s="39" t="s">
        <v>720</v>
      </c>
      <c r="M19" s="35" t="s">
        <v>544</v>
      </c>
      <c r="N19" s="39" t="s">
        <v>721</v>
      </c>
      <c r="O19" s="35" t="s">
        <v>545</v>
      </c>
      <c r="P19" s="39" t="s">
        <v>722</v>
      </c>
      <c r="Q19" s="37" t="s">
        <v>546</v>
      </c>
      <c r="R19" s="39"/>
      <c r="S19" s="35" t="s">
        <v>535</v>
      </c>
      <c r="T19" s="36" t="s">
        <v>254</v>
      </c>
      <c r="U19" s="36" t="s">
        <v>551</v>
      </c>
      <c r="V19" s="37" t="s">
        <v>723</v>
      </c>
      <c r="W19" s="35" t="s">
        <v>528</v>
      </c>
      <c r="X19" s="35" t="s">
        <v>529</v>
      </c>
      <c r="Y19" s="35" t="s">
        <v>530</v>
      </c>
      <c r="Z19" s="35" t="s">
        <v>531</v>
      </c>
      <c r="AA19" s="35" t="s">
        <v>532</v>
      </c>
      <c r="AB19" s="35" t="s">
        <v>531</v>
      </c>
      <c r="AC19" s="35" t="s">
        <v>311</v>
      </c>
      <c r="AD19" s="35" t="s">
        <v>418</v>
      </c>
      <c r="AE19" s="35" t="s">
        <v>533</v>
      </c>
      <c r="AF19" s="35" t="s">
        <v>781</v>
      </c>
      <c r="AG19" s="35" t="s">
        <v>534</v>
      </c>
      <c r="AH19" s="35" t="s">
        <v>781</v>
      </c>
      <c r="AI19" s="35" t="s">
        <v>781</v>
      </c>
      <c r="AJ19" s="35" t="s">
        <v>781</v>
      </c>
      <c r="AK19" s="35" t="s">
        <v>781</v>
      </c>
      <c r="AL19" s="35" t="s">
        <v>781</v>
      </c>
      <c r="AM19" s="35" t="s">
        <v>534</v>
      </c>
      <c r="AN19" s="35" t="s">
        <v>537</v>
      </c>
      <c r="AO19" s="35" t="s">
        <v>538</v>
      </c>
      <c r="AP19" s="35" t="s">
        <v>539</v>
      </c>
      <c r="AQ19" s="35" t="s">
        <v>540</v>
      </c>
      <c r="AR19" s="35" t="s">
        <v>541</v>
      </c>
      <c r="AS19" s="35" t="s">
        <v>542</v>
      </c>
      <c r="AT19" s="37" t="s">
        <v>547</v>
      </c>
    </row>
    <row r="20" spans="1:46" ht="15" hidden="1" x14ac:dyDescent="0.2">
      <c r="A20" s="35" t="s">
        <v>564</v>
      </c>
      <c r="B20" s="39" t="s">
        <v>580</v>
      </c>
      <c r="C20" s="39" t="s">
        <v>263</v>
      </c>
      <c r="D20" s="39" t="s">
        <v>259</v>
      </c>
      <c r="E20" s="39" t="s">
        <v>262</v>
      </c>
      <c r="F20" s="39" t="s">
        <v>261</v>
      </c>
      <c r="G20" s="39" t="s">
        <v>527</v>
      </c>
      <c r="H20" s="39" t="s">
        <v>256</v>
      </c>
      <c r="I20" s="39"/>
      <c r="J20" s="38" t="str">
        <f>_xlfn.XLOOKUP(D20,[1]Relatorio!$C:$C,[1]Relatorio!$B:$B)</f>
        <v>423830-3</v>
      </c>
      <c r="K20" s="35" t="s">
        <v>543</v>
      </c>
      <c r="L20" s="39" t="s">
        <v>681</v>
      </c>
      <c r="M20" s="35" t="s">
        <v>544</v>
      </c>
      <c r="N20" s="39" t="s">
        <v>682</v>
      </c>
      <c r="O20" s="35" t="s">
        <v>545</v>
      </c>
      <c r="P20" s="39" t="s">
        <v>683</v>
      </c>
      <c r="Q20" s="37" t="s">
        <v>546</v>
      </c>
      <c r="R20" s="39"/>
      <c r="S20" s="35" t="s">
        <v>535</v>
      </c>
      <c r="T20" s="36" t="s">
        <v>267</v>
      </c>
      <c r="U20" s="36" t="s">
        <v>669</v>
      </c>
      <c r="V20" s="37" t="s">
        <v>724</v>
      </c>
      <c r="W20" s="35" t="s">
        <v>528</v>
      </c>
      <c r="X20" s="35" t="s">
        <v>529</v>
      </c>
      <c r="Y20" s="35" t="s">
        <v>530</v>
      </c>
      <c r="Z20" s="35" t="s">
        <v>531</v>
      </c>
      <c r="AA20" s="35" t="s">
        <v>532</v>
      </c>
      <c r="AB20" s="35" t="s">
        <v>531</v>
      </c>
      <c r="AC20" s="35" t="s">
        <v>311</v>
      </c>
      <c r="AD20" s="35" t="s">
        <v>418</v>
      </c>
      <c r="AE20" s="35" t="s">
        <v>533</v>
      </c>
      <c r="AF20" s="35" t="s">
        <v>781</v>
      </c>
      <c r="AG20" s="35" t="s">
        <v>534</v>
      </c>
      <c r="AH20" s="35" t="s">
        <v>781</v>
      </c>
      <c r="AI20" s="35" t="s">
        <v>781</v>
      </c>
      <c r="AJ20" s="35" t="s">
        <v>781</v>
      </c>
      <c r="AK20" s="35" t="s">
        <v>781</v>
      </c>
      <c r="AL20" s="35" t="s">
        <v>781</v>
      </c>
      <c r="AM20" s="35" t="s">
        <v>534</v>
      </c>
      <c r="AN20" s="35" t="s">
        <v>537</v>
      </c>
      <c r="AO20" s="35" t="s">
        <v>538</v>
      </c>
      <c r="AP20" s="35" t="s">
        <v>539</v>
      </c>
      <c r="AQ20" s="35" t="s">
        <v>540</v>
      </c>
      <c r="AR20" s="35" t="s">
        <v>541</v>
      </c>
      <c r="AS20" s="35" t="s">
        <v>542</v>
      </c>
      <c r="AT20" s="37" t="s">
        <v>547</v>
      </c>
    </row>
    <row r="21" spans="1:46" ht="15" hidden="1" x14ac:dyDescent="0.25">
      <c r="A21" s="35" t="s">
        <v>565</v>
      </c>
      <c r="B21" s="39" t="s">
        <v>581</v>
      </c>
      <c r="C21" s="39" t="s">
        <v>275</v>
      </c>
      <c r="D21" s="39" t="s">
        <v>277</v>
      </c>
      <c r="E21" s="39" t="s">
        <v>274</v>
      </c>
      <c r="F21" s="39" t="s">
        <v>199</v>
      </c>
      <c r="G21" s="39" t="s">
        <v>527</v>
      </c>
      <c r="H21" s="39" t="s">
        <v>269</v>
      </c>
      <c r="I21" s="39"/>
      <c r="J21" s="38" t="str">
        <f>_xlfn.XLOOKUP(D21,[2]Relatorio!$C:$C,[2]Relatorio!$B:$B)</f>
        <v>423878-8</v>
      </c>
      <c r="K21" s="35" t="s">
        <v>543</v>
      </c>
      <c r="L21" s="39" t="s">
        <v>681</v>
      </c>
      <c r="M21" s="35" t="s">
        <v>544</v>
      </c>
      <c r="N21" s="39" t="s">
        <v>682</v>
      </c>
      <c r="O21" s="35" t="s">
        <v>545</v>
      </c>
      <c r="P21" s="39" t="s">
        <v>683</v>
      </c>
      <c r="Q21" s="37" t="s">
        <v>546</v>
      </c>
      <c r="R21" s="39"/>
      <c r="S21" s="42" t="s">
        <v>585</v>
      </c>
      <c r="T21" s="36" t="s">
        <v>58</v>
      </c>
      <c r="U21" s="36" t="s">
        <v>669</v>
      </c>
      <c r="V21" s="37" t="s">
        <v>779</v>
      </c>
      <c r="W21" s="35" t="s">
        <v>528</v>
      </c>
      <c r="X21" s="35" t="s">
        <v>529</v>
      </c>
      <c r="Y21" s="35" t="s">
        <v>530</v>
      </c>
      <c r="Z21" s="35" t="s">
        <v>531</v>
      </c>
      <c r="AA21" s="35" t="s">
        <v>532</v>
      </c>
      <c r="AB21" s="35" t="s">
        <v>531</v>
      </c>
      <c r="AC21" s="35" t="s">
        <v>311</v>
      </c>
      <c r="AD21" s="35" t="s">
        <v>418</v>
      </c>
      <c r="AE21" s="35" t="s">
        <v>533</v>
      </c>
      <c r="AF21" s="35" t="s">
        <v>781</v>
      </c>
      <c r="AG21" s="35" t="s">
        <v>534</v>
      </c>
      <c r="AH21" s="35" t="s">
        <v>781</v>
      </c>
      <c r="AI21" s="35" t="s">
        <v>781</v>
      </c>
      <c r="AJ21" s="35" t="s">
        <v>781</v>
      </c>
      <c r="AK21" s="35" t="s">
        <v>781</v>
      </c>
      <c r="AL21" s="35" t="s">
        <v>781</v>
      </c>
      <c r="AM21" s="35" t="s">
        <v>534</v>
      </c>
      <c r="AN21" s="35" t="s">
        <v>537</v>
      </c>
      <c r="AO21" s="35" t="s">
        <v>538</v>
      </c>
      <c r="AP21" s="35" t="s">
        <v>539</v>
      </c>
      <c r="AQ21" s="35" t="s">
        <v>540</v>
      </c>
      <c r="AR21" s="35" t="s">
        <v>541</v>
      </c>
      <c r="AS21" s="35" t="s">
        <v>542</v>
      </c>
      <c r="AT21" s="37" t="s">
        <v>547</v>
      </c>
    </row>
    <row r="22" spans="1:46" ht="15" hidden="1" x14ac:dyDescent="0.25">
      <c r="A22" s="35" t="s">
        <v>566</v>
      </c>
      <c r="B22" s="39" t="s">
        <v>580</v>
      </c>
      <c r="C22" s="39" t="s">
        <v>287</v>
      </c>
      <c r="D22" s="39" t="s">
        <v>284</v>
      </c>
      <c r="E22" s="39" t="s">
        <v>286</v>
      </c>
      <c r="F22" s="39" t="s">
        <v>65</v>
      </c>
      <c r="G22" s="39" t="s">
        <v>527</v>
      </c>
      <c r="H22" s="39" t="s">
        <v>281</v>
      </c>
      <c r="I22" s="39"/>
      <c r="J22" s="38" t="str">
        <f>_xlfn.XLOOKUP(D22,[1]Relatorio!$C:$C,[1]Relatorio!$B:$B)</f>
        <v>423831-1</v>
      </c>
      <c r="K22" s="35" t="s">
        <v>543</v>
      </c>
      <c r="L22" s="39" t="s">
        <v>714</v>
      </c>
      <c r="M22" s="35" t="s">
        <v>544</v>
      </c>
      <c r="N22" s="39" t="s">
        <v>715</v>
      </c>
      <c r="O22" s="35" t="s">
        <v>545</v>
      </c>
      <c r="P22" s="39" t="s">
        <v>716</v>
      </c>
      <c r="Q22" s="37" t="s">
        <v>546</v>
      </c>
      <c r="R22" s="39"/>
      <c r="S22" s="42" t="s">
        <v>585</v>
      </c>
      <c r="T22" s="36" t="s">
        <v>290</v>
      </c>
      <c r="U22" s="36" t="s">
        <v>669</v>
      </c>
      <c r="V22" s="37" t="s">
        <v>780</v>
      </c>
      <c r="W22" s="35" t="s">
        <v>528</v>
      </c>
      <c r="X22" s="35" t="s">
        <v>529</v>
      </c>
      <c r="Y22" s="35" t="s">
        <v>530</v>
      </c>
      <c r="Z22" s="35" t="s">
        <v>531</v>
      </c>
      <c r="AA22" s="35" t="s">
        <v>532</v>
      </c>
      <c r="AB22" s="35" t="s">
        <v>531</v>
      </c>
      <c r="AC22" s="35" t="s">
        <v>311</v>
      </c>
      <c r="AD22" s="35" t="s">
        <v>418</v>
      </c>
      <c r="AE22" s="35" t="s">
        <v>533</v>
      </c>
      <c r="AF22" s="35" t="s">
        <v>781</v>
      </c>
      <c r="AG22" s="35" t="s">
        <v>534</v>
      </c>
      <c r="AH22" s="35" t="s">
        <v>781</v>
      </c>
      <c r="AI22" s="35" t="s">
        <v>781</v>
      </c>
      <c r="AJ22" s="35" t="s">
        <v>781</v>
      </c>
      <c r="AK22" s="35" t="s">
        <v>781</v>
      </c>
      <c r="AL22" s="35" t="s">
        <v>781</v>
      </c>
      <c r="AM22" s="35" t="s">
        <v>534</v>
      </c>
      <c r="AN22" s="35" t="s">
        <v>537</v>
      </c>
      <c r="AO22" s="35" t="s">
        <v>538</v>
      </c>
      <c r="AP22" s="35" t="s">
        <v>539</v>
      </c>
      <c r="AQ22" s="35" t="s">
        <v>540</v>
      </c>
      <c r="AR22" s="35" t="s">
        <v>541</v>
      </c>
      <c r="AS22" s="35" t="s">
        <v>542</v>
      </c>
      <c r="AT22" s="37" t="s">
        <v>547</v>
      </c>
    </row>
    <row r="23" spans="1:46" ht="15" hidden="1" x14ac:dyDescent="0.2">
      <c r="A23" s="35" t="s">
        <v>567</v>
      </c>
      <c r="B23" s="39" t="s">
        <v>580</v>
      </c>
      <c r="C23" s="39" t="s">
        <v>299</v>
      </c>
      <c r="D23" s="39" t="s">
        <v>295</v>
      </c>
      <c r="E23" s="39" t="s">
        <v>298</v>
      </c>
      <c r="F23" s="39" t="s">
        <v>297</v>
      </c>
      <c r="G23" s="39" t="s">
        <v>536</v>
      </c>
      <c r="H23" s="39" t="s">
        <v>292</v>
      </c>
      <c r="I23" s="39"/>
      <c r="J23" s="38" t="str">
        <f>_xlfn.XLOOKUP(D23,[1]Relatorio!$C:$C,[1]Relatorio!$B:$B)</f>
        <v>423832-0</v>
      </c>
      <c r="K23" s="35" t="s">
        <v>543</v>
      </c>
      <c r="L23" s="39" t="s">
        <v>725</v>
      </c>
      <c r="M23" s="35" t="s">
        <v>544</v>
      </c>
      <c r="N23" s="39" t="s">
        <v>726</v>
      </c>
      <c r="O23" s="35" t="s">
        <v>545</v>
      </c>
      <c r="P23" s="39" t="s">
        <v>727</v>
      </c>
      <c r="Q23" s="37" t="s">
        <v>546</v>
      </c>
      <c r="R23" s="39"/>
      <c r="S23" s="35" t="s">
        <v>535</v>
      </c>
      <c r="T23" s="36" t="s">
        <v>304</v>
      </c>
      <c r="U23" s="36" t="s">
        <v>550</v>
      </c>
      <c r="V23" s="37" t="s">
        <v>728</v>
      </c>
      <c r="W23" s="35" t="s">
        <v>528</v>
      </c>
      <c r="X23" s="35" t="s">
        <v>529</v>
      </c>
      <c r="Y23" s="35" t="s">
        <v>530</v>
      </c>
      <c r="Z23" s="35" t="s">
        <v>531</v>
      </c>
      <c r="AA23" s="35" t="s">
        <v>532</v>
      </c>
      <c r="AB23" s="35" t="s">
        <v>531</v>
      </c>
      <c r="AC23" s="35" t="s">
        <v>311</v>
      </c>
      <c r="AD23" s="35" t="s">
        <v>418</v>
      </c>
      <c r="AE23" s="35" t="s">
        <v>533</v>
      </c>
      <c r="AF23" s="35" t="s">
        <v>781</v>
      </c>
      <c r="AG23" s="35" t="s">
        <v>534</v>
      </c>
      <c r="AH23" s="35" t="s">
        <v>781</v>
      </c>
      <c r="AI23" s="35" t="s">
        <v>781</v>
      </c>
      <c r="AJ23" s="35" t="s">
        <v>781</v>
      </c>
      <c r="AK23" s="35" t="s">
        <v>781</v>
      </c>
      <c r="AL23" s="35" t="s">
        <v>781</v>
      </c>
      <c r="AM23" s="35" t="s">
        <v>534</v>
      </c>
      <c r="AN23" s="35" t="s">
        <v>537</v>
      </c>
      <c r="AO23" s="35" t="s">
        <v>538</v>
      </c>
      <c r="AP23" s="35" t="s">
        <v>539</v>
      </c>
      <c r="AQ23" s="35" t="s">
        <v>540</v>
      </c>
      <c r="AR23" s="35" t="s">
        <v>541</v>
      </c>
      <c r="AS23" s="35" t="s">
        <v>542</v>
      </c>
      <c r="AT23" s="37" t="s">
        <v>547</v>
      </c>
    </row>
    <row r="24" spans="1:46" ht="15" hidden="1" x14ac:dyDescent="0.2">
      <c r="A24" s="35" t="s">
        <v>569</v>
      </c>
      <c r="B24" s="39" t="s">
        <v>581</v>
      </c>
      <c r="C24" s="39" t="s">
        <v>464</v>
      </c>
      <c r="D24" s="39" t="s">
        <v>462</v>
      </c>
      <c r="E24" s="39" t="s">
        <v>463</v>
      </c>
      <c r="F24" s="39" t="s">
        <v>467</v>
      </c>
      <c r="G24" s="39" t="s">
        <v>536</v>
      </c>
      <c r="H24" s="39"/>
      <c r="I24" s="39" t="s">
        <v>468</v>
      </c>
      <c r="J24" s="38" t="str">
        <f>_xlfn.XLOOKUP(D24,[1]Relatorio!$C:$C,[1]Relatorio!$B:$B)</f>
        <v>423833-8</v>
      </c>
      <c r="K24" s="35" t="s">
        <v>543</v>
      </c>
      <c r="L24" s="39" t="s">
        <v>729</v>
      </c>
      <c r="M24" s="35" t="s">
        <v>544</v>
      </c>
      <c r="N24" s="39" t="s">
        <v>730</v>
      </c>
      <c r="O24" s="35" t="s">
        <v>545</v>
      </c>
      <c r="P24" s="39" t="s">
        <v>731</v>
      </c>
      <c r="Q24" s="37" t="s">
        <v>568</v>
      </c>
      <c r="R24" s="39"/>
      <c r="S24" s="35" t="s">
        <v>535</v>
      </c>
      <c r="T24" s="39" t="s">
        <v>732</v>
      </c>
      <c r="U24" s="39" t="s">
        <v>669</v>
      </c>
      <c r="V24" s="39" t="s">
        <v>733</v>
      </c>
      <c r="W24" s="35" t="s">
        <v>528</v>
      </c>
      <c r="X24" s="35" t="s">
        <v>529</v>
      </c>
      <c r="Y24" s="35" t="s">
        <v>530</v>
      </c>
      <c r="Z24" s="35" t="s">
        <v>531</v>
      </c>
      <c r="AA24" s="35" t="s">
        <v>532</v>
      </c>
      <c r="AB24" s="35" t="s">
        <v>531</v>
      </c>
      <c r="AC24" s="35" t="s">
        <v>311</v>
      </c>
      <c r="AD24" s="35" t="s">
        <v>418</v>
      </c>
      <c r="AE24" s="35" t="s">
        <v>533</v>
      </c>
      <c r="AF24" s="35" t="s">
        <v>781</v>
      </c>
      <c r="AG24" s="35" t="s">
        <v>534</v>
      </c>
      <c r="AH24" s="35" t="s">
        <v>781</v>
      </c>
      <c r="AI24" s="35" t="s">
        <v>781</v>
      </c>
      <c r="AJ24" s="35" t="s">
        <v>781</v>
      </c>
      <c r="AK24" s="35" t="s">
        <v>781</v>
      </c>
      <c r="AL24" s="35" t="s">
        <v>781</v>
      </c>
      <c r="AM24" s="35" t="s">
        <v>534</v>
      </c>
      <c r="AN24" s="35" t="s">
        <v>537</v>
      </c>
      <c r="AO24" s="35" t="s">
        <v>538</v>
      </c>
      <c r="AP24" s="35" t="s">
        <v>539</v>
      </c>
      <c r="AQ24" s="35" t="s">
        <v>540</v>
      </c>
      <c r="AR24" s="35" t="s">
        <v>541</v>
      </c>
      <c r="AS24" s="35" t="s">
        <v>542</v>
      </c>
      <c r="AT24" s="37" t="s">
        <v>547</v>
      </c>
    </row>
    <row r="25" spans="1:46" ht="15" hidden="1" x14ac:dyDescent="0.2">
      <c r="A25" s="35" t="s">
        <v>570</v>
      </c>
      <c r="B25" s="39" t="s">
        <v>581</v>
      </c>
      <c r="C25" s="39" t="s">
        <v>464</v>
      </c>
      <c r="D25" s="39" t="s">
        <v>462</v>
      </c>
      <c r="E25" s="39" t="s">
        <v>463</v>
      </c>
      <c r="F25" s="39" t="s">
        <v>348</v>
      </c>
      <c r="G25" s="39" t="s">
        <v>527</v>
      </c>
      <c r="H25" s="39"/>
      <c r="I25" s="39" t="s">
        <v>466</v>
      </c>
      <c r="J25" s="38" t="s">
        <v>782</v>
      </c>
      <c r="K25" s="35" t="s">
        <v>543</v>
      </c>
      <c r="L25" s="39" t="s">
        <v>734</v>
      </c>
      <c r="M25" s="35" t="s">
        <v>544</v>
      </c>
      <c r="N25" s="39" t="s">
        <v>735</v>
      </c>
      <c r="O25" s="35" t="s">
        <v>545</v>
      </c>
      <c r="P25" s="39" t="s">
        <v>736</v>
      </c>
      <c r="Q25" s="37" t="s">
        <v>568</v>
      </c>
      <c r="R25" s="39"/>
      <c r="S25" s="35" t="s">
        <v>535</v>
      </c>
      <c r="T25" s="39" t="s">
        <v>732</v>
      </c>
      <c r="U25" s="39" t="s">
        <v>669</v>
      </c>
      <c r="V25" s="39" t="s">
        <v>733</v>
      </c>
      <c r="W25" s="35" t="s">
        <v>528</v>
      </c>
      <c r="X25" s="35" t="s">
        <v>529</v>
      </c>
      <c r="Y25" s="35" t="s">
        <v>530</v>
      </c>
      <c r="Z25" s="35" t="s">
        <v>531</v>
      </c>
      <c r="AA25" s="35" t="s">
        <v>532</v>
      </c>
      <c r="AB25" s="35" t="s">
        <v>531</v>
      </c>
      <c r="AC25" s="35" t="s">
        <v>311</v>
      </c>
      <c r="AD25" s="35" t="s">
        <v>418</v>
      </c>
      <c r="AE25" s="35" t="s">
        <v>533</v>
      </c>
      <c r="AF25" s="35" t="s">
        <v>781</v>
      </c>
      <c r="AG25" s="35" t="s">
        <v>534</v>
      </c>
      <c r="AH25" s="35" t="s">
        <v>781</v>
      </c>
      <c r="AI25" s="35" t="s">
        <v>781</v>
      </c>
      <c r="AJ25" s="35" t="s">
        <v>781</v>
      </c>
      <c r="AK25" s="35" t="s">
        <v>781</v>
      </c>
      <c r="AL25" s="35" t="s">
        <v>781</v>
      </c>
      <c r="AM25" s="35" t="s">
        <v>534</v>
      </c>
      <c r="AN25" s="35" t="s">
        <v>537</v>
      </c>
      <c r="AO25" s="35" t="s">
        <v>538</v>
      </c>
      <c r="AP25" s="35" t="s">
        <v>539</v>
      </c>
      <c r="AQ25" s="35" t="s">
        <v>540</v>
      </c>
      <c r="AR25" s="35" t="s">
        <v>541</v>
      </c>
      <c r="AS25" s="35" t="s">
        <v>542</v>
      </c>
      <c r="AT25" s="37" t="s">
        <v>547</v>
      </c>
    </row>
    <row r="26" spans="1:46" ht="15" hidden="1" x14ac:dyDescent="0.2">
      <c r="A26" s="35" t="s">
        <v>571</v>
      </c>
      <c r="B26" s="39" t="s">
        <v>581</v>
      </c>
      <c r="C26" s="39" t="s">
        <v>464</v>
      </c>
      <c r="D26" s="39" t="s">
        <v>462</v>
      </c>
      <c r="E26" s="39" t="s">
        <v>463</v>
      </c>
      <c r="F26" s="39" t="s">
        <v>32</v>
      </c>
      <c r="G26" s="39" t="s">
        <v>527</v>
      </c>
      <c r="H26" s="39"/>
      <c r="I26" s="39" t="s">
        <v>465</v>
      </c>
      <c r="J26" s="38" t="str">
        <f>_xlfn.XLOOKUP(D26,[1]Relatorio!$C:$C,[1]Relatorio!$B:$B,0,0,-1)</f>
        <v>423835-4</v>
      </c>
      <c r="K26" s="35" t="s">
        <v>543</v>
      </c>
      <c r="L26" s="39" t="s">
        <v>737</v>
      </c>
      <c r="M26" s="35" t="s">
        <v>544</v>
      </c>
      <c r="N26" s="39" t="s">
        <v>738</v>
      </c>
      <c r="O26" s="35" t="s">
        <v>545</v>
      </c>
      <c r="P26" s="39" t="s">
        <v>739</v>
      </c>
      <c r="Q26" s="37" t="s">
        <v>568</v>
      </c>
      <c r="R26" s="39"/>
      <c r="S26" s="35" t="s">
        <v>535</v>
      </c>
      <c r="T26" s="39" t="s">
        <v>732</v>
      </c>
      <c r="U26" s="39" t="s">
        <v>669</v>
      </c>
      <c r="V26" s="39" t="s">
        <v>733</v>
      </c>
      <c r="W26" s="35" t="s">
        <v>528</v>
      </c>
      <c r="X26" s="35" t="s">
        <v>529</v>
      </c>
      <c r="Y26" s="35" t="s">
        <v>530</v>
      </c>
      <c r="Z26" s="35" t="s">
        <v>531</v>
      </c>
      <c r="AA26" s="35" t="s">
        <v>532</v>
      </c>
      <c r="AB26" s="35" t="s">
        <v>531</v>
      </c>
      <c r="AC26" s="35" t="s">
        <v>311</v>
      </c>
      <c r="AD26" s="35" t="s">
        <v>418</v>
      </c>
      <c r="AE26" s="35" t="s">
        <v>533</v>
      </c>
      <c r="AF26" s="35" t="s">
        <v>781</v>
      </c>
      <c r="AG26" s="35" t="s">
        <v>534</v>
      </c>
      <c r="AH26" s="35" t="s">
        <v>781</v>
      </c>
      <c r="AI26" s="35" t="s">
        <v>781</v>
      </c>
      <c r="AJ26" s="35" t="s">
        <v>781</v>
      </c>
      <c r="AK26" s="35" t="s">
        <v>781</v>
      </c>
      <c r="AL26" s="35" t="s">
        <v>781</v>
      </c>
      <c r="AM26" s="35" t="s">
        <v>534</v>
      </c>
      <c r="AN26" s="35" t="s">
        <v>537</v>
      </c>
      <c r="AO26" s="35" t="s">
        <v>538</v>
      </c>
      <c r="AP26" s="35" t="s">
        <v>539</v>
      </c>
      <c r="AQ26" s="35" t="s">
        <v>540</v>
      </c>
      <c r="AR26" s="35" t="s">
        <v>541</v>
      </c>
      <c r="AS26" s="35" t="s">
        <v>542</v>
      </c>
      <c r="AT26" s="37" t="s">
        <v>547</v>
      </c>
    </row>
    <row r="27" spans="1:46" ht="15" hidden="1" x14ac:dyDescent="0.25">
      <c r="A27" s="35" t="s">
        <v>572</v>
      </c>
      <c r="B27" s="39" t="s">
        <v>581</v>
      </c>
      <c r="C27" s="39" t="s">
        <v>443</v>
      </c>
      <c r="D27" s="39" t="s">
        <v>441</v>
      </c>
      <c r="E27" s="39" t="s">
        <v>442</v>
      </c>
      <c r="F27" s="39" t="s">
        <v>348</v>
      </c>
      <c r="G27" s="39" t="s">
        <v>527</v>
      </c>
      <c r="H27" s="39"/>
      <c r="I27" s="40" t="s">
        <v>446</v>
      </c>
      <c r="J27" s="38" t="str">
        <f>_xlfn.XLOOKUP(D27,[1]Relatorio!$C:$C,[1]Relatorio!$B:$B)</f>
        <v>423836-2</v>
      </c>
      <c r="K27" s="35" t="s">
        <v>543</v>
      </c>
      <c r="L27" s="39" t="s">
        <v>740</v>
      </c>
      <c r="M27" s="35" t="s">
        <v>544</v>
      </c>
      <c r="N27" s="39" t="s">
        <v>741</v>
      </c>
      <c r="O27" s="35" t="s">
        <v>545</v>
      </c>
      <c r="P27" s="39" t="s">
        <v>742</v>
      </c>
      <c r="Q27" s="37" t="s">
        <v>568</v>
      </c>
      <c r="R27" s="39"/>
      <c r="S27" s="42" t="s">
        <v>590</v>
      </c>
      <c r="T27" s="39" t="s">
        <v>424</v>
      </c>
      <c r="U27" s="39" t="s">
        <v>536</v>
      </c>
      <c r="V27" s="39" t="s">
        <v>743</v>
      </c>
      <c r="W27" s="35" t="s">
        <v>528</v>
      </c>
      <c r="X27" s="35" t="s">
        <v>529</v>
      </c>
      <c r="Y27" s="35" t="s">
        <v>530</v>
      </c>
      <c r="Z27" s="35" t="s">
        <v>531</v>
      </c>
      <c r="AA27" s="35" t="s">
        <v>532</v>
      </c>
      <c r="AB27" s="35" t="s">
        <v>531</v>
      </c>
      <c r="AC27" s="35" t="s">
        <v>311</v>
      </c>
      <c r="AD27" s="35" t="s">
        <v>418</v>
      </c>
      <c r="AE27" s="35" t="s">
        <v>533</v>
      </c>
      <c r="AF27" s="35" t="s">
        <v>781</v>
      </c>
      <c r="AG27" s="35" t="s">
        <v>534</v>
      </c>
      <c r="AH27" s="35" t="s">
        <v>781</v>
      </c>
      <c r="AI27" s="35" t="s">
        <v>781</v>
      </c>
      <c r="AJ27" s="35" t="s">
        <v>781</v>
      </c>
      <c r="AK27" s="35" t="s">
        <v>781</v>
      </c>
      <c r="AL27" s="35" t="s">
        <v>781</v>
      </c>
      <c r="AM27" s="35" t="s">
        <v>534</v>
      </c>
      <c r="AN27" s="35" t="s">
        <v>537</v>
      </c>
      <c r="AO27" s="35" t="s">
        <v>538</v>
      </c>
      <c r="AP27" s="35" t="s">
        <v>539</v>
      </c>
      <c r="AQ27" s="35" t="s">
        <v>540</v>
      </c>
      <c r="AR27" s="35" t="s">
        <v>541</v>
      </c>
      <c r="AS27" s="35" t="s">
        <v>542</v>
      </c>
      <c r="AT27" s="37" t="s">
        <v>547</v>
      </c>
    </row>
    <row r="28" spans="1:46" ht="15" hidden="1" x14ac:dyDescent="0.25">
      <c r="A28" s="35" t="s">
        <v>573</v>
      </c>
      <c r="B28" s="39" t="s">
        <v>581</v>
      </c>
      <c r="C28" s="39" t="s">
        <v>443</v>
      </c>
      <c r="D28" s="39" t="s">
        <v>441</v>
      </c>
      <c r="E28" s="39" t="s">
        <v>442</v>
      </c>
      <c r="F28" s="39" t="s">
        <v>366</v>
      </c>
      <c r="G28" s="39" t="s">
        <v>527</v>
      </c>
      <c r="H28" s="39"/>
      <c r="I28" s="39" t="s">
        <v>444</v>
      </c>
      <c r="J28" s="38" t="str">
        <f>_xlfn.XLOOKUP(D28,[1]Relatorio!$C:$C,[1]Relatorio!$B:$B,0,0,-1)</f>
        <v>423837-X</v>
      </c>
      <c r="K28" s="35" t="s">
        <v>543</v>
      </c>
      <c r="L28" s="39" t="s">
        <v>744</v>
      </c>
      <c r="M28" s="35" t="s">
        <v>544</v>
      </c>
      <c r="N28" s="39" t="s">
        <v>745</v>
      </c>
      <c r="O28" s="35" t="s">
        <v>545</v>
      </c>
      <c r="P28" s="39" t="s">
        <v>746</v>
      </c>
      <c r="Q28" s="37" t="s">
        <v>568</v>
      </c>
      <c r="R28" s="39"/>
      <c r="S28" s="42" t="s">
        <v>590</v>
      </c>
      <c r="T28" s="39" t="s">
        <v>424</v>
      </c>
      <c r="U28" s="39" t="s">
        <v>536</v>
      </c>
      <c r="V28" s="39" t="s">
        <v>743</v>
      </c>
      <c r="W28" s="35" t="s">
        <v>528</v>
      </c>
      <c r="X28" s="35" t="s">
        <v>529</v>
      </c>
      <c r="Y28" s="35" t="s">
        <v>530</v>
      </c>
      <c r="Z28" s="35" t="s">
        <v>531</v>
      </c>
      <c r="AA28" s="35" t="s">
        <v>532</v>
      </c>
      <c r="AB28" s="35" t="s">
        <v>531</v>
      </c>
      <c r="AC28" s="35" t="s">
        <v>311</v>
      </c>
      <c r="AD28" s="35" t="s">
        <v>418</v>
      </c>
      <c r="AE28" s="35" t="s">
        <v>533</v>
      </c>
      <c r="AF28" s="35" t="s">
        <v>781</v>
      </c>
      <c r="AG28" s="35" t="s">
        <v>534</v>
      </c>
      <c r="AH28" s="35" t="s">
        <v>781</v>
      </c>
      <c r="AI28" s="35" t="s">
        <v>781</v>
      </c>
      <c r="AJ28" s="35" t="s">
        <v>781</v>
      </c>
      <c r="AK28" s="35" t="s">
        <v>781</v>
      </c>
      <c r="AL28" s="35" t="s">
        <v>781</v>
      </c>
      <c r="AM28" s="35" t="s">
        <v>534</v>
      </c>
      <c r="AN28" s="35" t="s">
        <v>537</v>
      </c>
      <c r="AO28" s="35" t="s">
        <v>538</v>
      </c>
      <c r="AP28" s="35" t="s">
        <v>539</v>
      </c>
      <c r="AQ28" s="35" t="s">
        <v>540</v>
      </c>
      <c r="AR28" s="35" t="s">
        <v>541</v>
      </c>
      <c r="AS28" s="35" t="s">
        <v>542</v>
      </c>
      <c r="AT28" s="37" t="s">
        <v>547</v>
      </c>
    </row>
    <row r="29" spans="1:46" ht="15" hidden="1" x14ac:dyDescent="0.25">
      <c r="A29" s="35" t="s">
        <v>574</v>
      </c>
      <c r="B29" s="39" t="s">
        <v>580</v>
      </c>
      <c r="C29" s="39" t="s">
        <v>422</v>
      </c>
      <c r="D29" s="39" t="s">
        <v>420</v>
      </c>
      <c r="E29" s="39" t="s">
        <v>421</v>
      </c>
      <c r="F29" s="39" t="s">
        <v>348</v>
      </c>
      <c r="G29" s="39" t="s">
        <v>527</v>
      </c>
      <c r="H29" s="39"/>
      <c r="I29" s="39" t="s">
        <v>423</v>
      </c>
      <c r="J29" s="38" t="str">
        <f>_xlfn.XLOOKUP(D29,[1]Relatorio!$C:$C,[1]Relatorio!$B:$B)</f>
        <v>423838-9</v>
      </c>
      <c r="K29" s="35" t="s">
        <v>543</v>
      </c>
      <c r="L29" s="39" t="s">
        <v>747</v>
      </c>
      <c r="M29" s="35" t="s">
        <v>544</v>
      </c>
      <c r="N29" s="39" t="s">
        <v>748</v>
      </c>
      <c r="O29" s="35" t="s">
        <v>545</v>
      </c>
      <c r="P29" s="39" t="s">
        <v>749</v>
      </c>
      <c r="Q29" s="37" t="s">
        <v>568</v>
      </c>
      <c r="R29" s="39"/>
      <c r="S29" s="42" t="s">
        <v>585</v>
      </c>
      <c r="T29" s="39" t="s">
        <v>95</v>
      </c>
      <c r="U29" s="39" t="s">
        <v>669</v>
      </c>
      <c r="V29" s="39" t="s">
        <v>750</v>
      </c>
      <c r="W29" s="35" t="s">
        <v>528</v>
      </c>
      <c r="X29" s="35" t="s">
        <v>529</v>
      </c>
      <c r="Y29" s="35" t="s">
        <v>530</v>
      </c>
      <c r="Z29" s="35" t="s">
        <v>531</v>
      </c>
      <c r="AA29" s="35" t="s">
        <v>532</v>
      </c>
      <c r="AB29" s="35" t="s">
        <v>531</v>
      </c>
      <c r="AC29" s="35" t="s">
        <v>311</v>
      </c>
      <c r="AD29" s="35" t="s">
        <v>418</v>
      </c>
      <c r="AE29" s="35" t="s">
        <v>533</v>
      </c>
      <c r="AF29" s="35" t="s">
        <v>781</v>
      </c>
      <c r="AG29" s="35" t="s">
        <v>534</v>
      </c>
      <c r="AH29" s="35" t="s">
        <v>781</v>
      </c>
      <c r="AI29" s="35" t="s">
        <v>781</v>
      </c>
      <c r="AJ29" s="35" t="s">
        <v>781</v>
      </c>
      <c r="AK29" s="35" t="s">
        <v>781</v>
      </c>
      <c r="AL29" s="35" t="s">
        <v>781</v>
      </c>
      <c r="AM29" s="35" t="s">
        <v>534</v>
      </c>
      <c r="AN29" s="35" t="s">
        <v>537</v>
      </c>
      <c r="AO29" s="35" t="s">
        <v>538</v>
      </c>
      <c r="AP29" s="35" t="s">
        <v>539</v>
      </c>
      <c r="AQ29" s="35" t="s">
        <v>540</v>
      </c>
      <c r="AR29" s="35" t="s">
        <v>541</v>
      </c>
      <c r="AS29" s="35" t="s">
        <v>542</v>
      </c>
      <c r="AT29" s="37" t="s">
        <v>547</v>
      </c>
    </row>
    <row r="30" spans="1:46" ht="15" hidden="1" x14ac:dyDescent="0.2">
      <c r="A30" s="35" t="s">
        <v>575</v>
      </c>
      <c r="B30" s="39" t="s">
        <v>580</v>
      </c>
      <c r="C30" s="39" t="s">
        <v>751</v>
      </c>
      <c r="D30" s="39" t="s">
        <v>402</v>
      </c>
      <c r="E30" s="39" t="s">
        <v>403</v>
      </c>
      <c r="F30" s="39" t="s">
        <v>348</v>
      </c>
      <c r="G30" s="39" t="s">
        <v>527</v>
      </c>
      <c r="H30" s="39"/>
      <c r="I30" s="39" t="s">
        <v>404</v>
      </c>
      <c r="J30" s="38" t="str">
        <f>_xlfn.XLOOKUP(D30,[1]Relatorio!$C:$C,[1]Relatorio!$B:$B)</f>
        <v>423839-7</v>
      </c>
      <c r="K30" s="35" t="s">
        <v>543</v>
      </c>
      <c r="L30" s="39" t="s">
        <v>752</v>
      </c>
      <c r="M30" s="35" t="s">
        <v>544</v>
      </c>
      <c r="N30" s="39" t="s">
        <v>753</v>
      </c>
      <c r="O30" s="35" t="s">
        <v>545</v>
      </c>
      <c r="P30" s="39" t="s">
        <v>754</v>
      </c>
      <c r="Q30" s="37" t="s">
        <v>568</v>
      </c>
      <c r="R30" s="39"/>
      <c r="S30" s="35" t="s">
        <v>535</v>
      </c>
      <c r="T30" s="39" t="s">
        <v>755</v>
      </c>
      <c r="U30" s="39" t="s">
        <v>536</v>
      </c>
      <c r="V30" s="39" t="s">
        <v>756</v>
      </c>
      <c r="W30" s="35" t="s">
        <v>528</v>
      </c>
      <c r="X30" s="35" t="s">
        <v>529</v>
      </c>
      <c r="Y30" s="35" t="s">
        <v>530</v>
      </c>
      <c r="Z30" s="35" t="s">
        <v>531</v>
      </c>
      <c r="AA30" s="35" t="s">
        <v>532</v>
      </c>
      <c r="AB30" s="35" t="s">
        <v>531</v>
      </c>
      <c r="AC30" s="35" t="s">
        <v>311</v>
      </c>
      <c r="AD30" s="35" t="s">
        <v>418</v>
      </c>
      <c r="AE30" s="35" t="s">
        <v>533</v>
      </c>
      <c r="AF30" s="35" t="s">
        <v>781</v>
      </c>
      <c r="AG30" s="35" t="s">
        <v>534</v>
      </c>
      <c r="AH30" s="35" t="s">
        <v>781</v>
      </c>
      <c r="AI30" s="35" t="s">
        <v>781</v>
      </c>
      <c r="AJ30" s="35" t="s">
        <v>781</v>
      </c>
      <c r="AK30" s="35" t="s">
        <v>781</v>
      </c>
      <c r="AL30" s="35" t="s">
        <v>781</v>
      </c>
      <c r="AM30" s="35" t="s">
        <v>534</v>
      </c>
      <c r="AN30" s="35" t="s">
        <v>537</v>
      </c>
      <c r="AO30" s="35" t="s">
        <v>538</v>
      </c>
      <c r="AP30" s="35" t="s">
        <v>539</v>
      </c>
      <c r="AQ30" s="35" t="s">
        <v>540</v>
      </c>
      <c r="AR30" s="35" t="s">
        <v>541</v>
      </c>
      <c r="AS30" s="35" t="s">
        <v>542</v>
      </c>
      <c r="AT30" s="37" t="s">
        <v>547</v>
      </c>
    </row>
    <row r="31" spans="1:46" ht="15" hidden="1" x14ac:dyDescent="0.2">
      <c r="A31" s="35" t="s">
        <v>576</v>
      </c>
      <c r="B31" s="39" t="s">
        <v>580</v>
      </c>
      <c r="C31" s="39" t="s">
        <v>387</v>
      </c>
      <c r="D31" s="39" t="s">
        <v>385</v>
      </c>
      <c r="E31" s="39" t="s">
        <v>386</v>
      </c>
      <c r="F31" s="39" t="s">
        <v>348</v>
      </c>
      <c r="G31" s="39" t="s">
        <v>527</v>
      </c>
      <c r="H31" s="39"/>
      <c r="I31" s="40" t="s">
        <v>388</v>
      </c>
      <c r="J31" s="38" t="str">
        <f>_xlfn.XLOOKUP(D31,[1]Relatorio!$C:$C,[1]Relatorio!$B:$B)</f>
        <v>423840-X</v>
      </c>
      <c r="K31" s="35" t="s">
        <v>543</v>
      </c>
      <c r="L31" s="39" t="s">
        <v>757</v>
      </c>
      <c r="M31" s="35" t="s">
        <v>544</v>
      </c>
      <c r="N31" s="39" t="s">
        <v>758</v>
      </c>
      <c r="O31" s="35" t="s">
        <v>545</v>
      </c>
      <c r="P31" s="39" t="s">
        <v>759</v>
      </c>
      <c r="Q31" s="37" t="s">
        <v>568</v>
      </c>
      <c r="R31" s="39"/>
      <c r="S31" s="35" t="s">
        <v>535</v>
      </c>
      <c r="T31" s="39" t="s">
        <v>372</v>
      </c>
      <c r="U31" s="39" t="s">
        <v>551</v>
      </c>
      <c r="V31" s="39" t="s">
        <v>760</v>
      </c>
      <c r="W31" s="35" t="s">
        <v>528</v>
      </c>
      <c r="X31" s="35" t="s">
        <v>529</v>
      </c>
      <c r="Y31" s="35" t="s">
        <v>530</v>
      </c>
      <c r="Z31" s="35" t="s">
        <v>531</v>
      </c>
      <c r="AA31" s="35" t="s">
        <v>532</v>
      </c>
      <c r="AB31" s="35" t="s">
        <v>531</v>
      </c>
      <c r="AC31" s="35" t="s">
        <v>311</v>
      </c>
      <c r="AD31" s="35" t="s">
        <v>418</v>
      </c>
      <c r="AE31" s="35" t="s">
        <v>533</v>
      </c>
      <c r="AF31" s="35" t="s">
        <v>781</v>
      </c>
      <c r="AG31" s="35" t="s">
        <v>534</v>
      </c>
      <c r="AH31" s="35" t="s">
        <v>781</v>
      </c>
      <c r="AI31" s="35" t="s">
        <v>781</v>
      </c>
      <c r="AJ31" s="35" t="s">
        <v>781</v>
      </c>
      <c r="AK31" s="35" t="s">
        <v>781</v>
      </c>
      <c r="AL31" s="35" t="s">
        <v>781</v>
      </c>
      <c r="AM31" s="35" t="s">
        <v>534</v>
      </c>
      <c r="AN31" s="35" t="s">
        <v>537</v>
      </c>
      <c r="AO31" s="35" t="s">
        <v>538</v>
      </c>
      <c r="AP31" s="35" t="s">
        <v>539</v>
      </c>
      <c r="AQ31" s="35" t="s">
        <v>540</v>
      </c>
      <c r="AR31" s="35" t="s">
        <v>541</v>
      </c>
      <c r="AS31" s="35" t="s">
        <v>542</v>
      </c>
      <c r="AT31" s="37" t="s">
        <v>547</v>
      </c>
    </row>
    <row r="32" spans="1:46" ht="15" hidden="1" x14ac:dyDescent="0.2">
      <c r="A32" s="35" t="s">
        <v>577</v>
      </c>
      <c r="B32" s="39" t="s">
        <v>580</v>
      </c>
      <c r="C32" s="39" t="s">
        <v>370</v>
      </c>
      <c r="D32" s="39" t="s">
        <v>368</v>
      </c>
      <c r="E32" s="39" t="s">
        <v>369</v>
      </c>
      <c r="F32" s="39" t="s">
        <v>366</v>
      </c>
      <c r="G32" s="39" t="s">
        <v>527</v>
      </c>
      <c r="H32" s="39"/>
      <c r="I32" s="39" t="s">
        <v>371</v>
      </c>
      <c r="J32" s="38" t="str">
        <f>_xlfn.XLOOKUP(D32,[1]Relatorio!$C:$C,[1]Relatorio!$B:$B)</f>
        <v>423841-9</v>
      </c>
      <c r="K32" s="35" t="s">
        <v>543</v>
      </c>
      <c r="L32" s="39" t="s">
        <v>761</v>
      </c>
      <c r="M32" s="35" t="s">
        <v>544</v>
      </c>
      <c r="N32" s="39" t="s">
        <v>762</v>
      </c>
      <c r="O32" s="35" t="s">
        <v>545</v>
      </c>
      <c r="P32" s="39" t="s">
        <v>763</v>
      </c>
      <c r="Q32" s="37" t="s">
        <v>568</v>
      </c>
      <c r="R32" s="39"/>
      <c r="S32" s="35" t="s">
        <v>535</v>
      </c>
      <c r="T32" s="39" t="s">
        <v>764</v>
      </c>
      <c r="U32" s="39" t="s">
        <v>554</v>
      </c>
      <c r="V32" s="39" t="s">
        <v>765</v>
      </c>
      <c r="W32" s="35" t="s">
        <v>528</v>
      </c>
      <c r="X32" s="35" t="s">
        <v>529</v>
      </c>
      <c r="Y32" s="35" t="s">
        <v>530</v>
      </c>
      <c r="Z32" s="35" t="s">
        <v>531</v>
      </c>
      <c r="AA32" s="35" t="s">
        <v>532</v>
      </c>
      <c r="AB32" s="35" t="s">
        <v>531</v>
      </c>
      <c r="AC32" s="35" t="s">
        <v>311</v>
      </c>
      <c r="AD32" s="35" t="s">
        <v>418</v>
      </c>
      <c r="AE32" s="35" t="s">
        <v>533</v>
      </c>
      <c r="AF32" s="35" t="s">
        <v>781</v>
      </c>
      <c r="AG32" s="35" t="s">
        <v>534</v>
      </c>
      <c r="AH32" s="35" t="s">
        <v>781</v>
      </c>
      <c r="AI32" s="35" t="s">
        <v>781</v>
      </c>
      <c r="AJ32" s="35" t="s">
        <v>781</v>
      </c>
      <c r="AK32" s="35" t="s">
        <v>781</v>
      </c>
      <c r="AL32" s="35" t="s">
        <v>781</v>
      </c>
      <c r="AM32" s="35" t="s">
        <v>534</v>
      </c>
      <c r="AN32" s="35" t="s">
        <v>537</v>
      </c>
      <c r="AO32" s="35" t="s">
        <v>538</v>
      </c>
      <c r="AP32" s="35" t="s">
        <v>539</v>
      </c>
      <c r="AQ32" s="35" t="s">
        <v>540</v>
      </c>
      <c r="AR32" s="35" t="s">
        <v>541</v>
      </c>
      <c r="AS32" s="35" t="s">
        <v>542</v>
      </c>
      <c r="AT32" s="37" t="s">
        <v>547</v>
      </c>
    </row>
    <row r="33" spans="1:46" ht="15" hidden="1" x14ac:dyDescent="0.2">
      <c r="A33" s="35" t="s">
        <v>578</v>
      </c>
      <c r="B33" s="39" t="s">
        <v>581</v>
      </c>
      <c r="C33" s="39" t="s">
        <v>352</v>
      </c>
      <c r="D33" s="39" t="s">
        <v>350</v>
      </c>
      <c r="E33" s="40" t="s">
        <v>351</v>
      </c>
      <c r="F33" s="39" t="s">
        <v>348</v>
      </c>
      <c r="G33" s="39" t="s">
        <v>527</v>
      </c>
      <c r="H33" s="39"/>
      <c r="I33" s="39" t="s">
        <v>353</v>
      </c>
      <c r="J33" s="38" t="str">
        <f>_xlfn.XLOOKUP(D33,[1]Relatorio!$C:$C,[1]Relatorio!$B:$B)</f>
        <v>423842-7</v>
      </c>
      <c r="K33" s="35" t="s">
        <v>543</v>
      </c>
      <c r="L33" s="39" t="s">
        <v>766</v>
      </c>
      <c r="M33" s="35" t="s">
        <v>544</v>
      </c>
      <c r="N33" s="39" t="s">
        <v>767</v>
      </c>
      <c r="O33" s="35" t="s">
        <v>545</v>
      </c>
      <c r="P33" s="39" t="s">
        <v>768</v>
      </c>
      <c r="Q33" s="37" t="s">
        <v>568</v>
      </c>
      <c r="R33" s="39"/>
      <c r="S33" s="35" t="s">
        <v>535</v>
      </c>
      <c r="T33" s="39" t="s">
        <v>304</v>
      </c>
      <c r="U33" s="39" t="s">
        <v>550</v>
      </c>
      <c r="V33" s="39" t="s">
        <v>769</v>
      </c>
      <c r="W33" s="35" t="s">
        <v>528</v>
      </c>
      <c r="X33" s="35" t="s">
        <v>529</v>
      </c>
      <c r="Y33" s="35" t="s">
        <v>530</v>
      </c>
      <c r="Z33" s="35" t="s">
        <v>531</v>
      </c>
      <c r="AA33" s="35" t="s">
        <v>532</v>
      </c>
      <c r="AB33" s="35" t="s">
        <v>531</v>
      </c>
      <c r="AC33" s="35" t="s">
        <v>311</v>
      </c>
      <c r="AD33" s="35" t="s">
        <v>418</v>
      </c>
      <c r="AE33" s="35" t="s">
        <v>533</v>
      </c>
      <c r="AF33" s="35" t="s">
        <v>781</v>
      </c>
      <c r="AG33" s="35" t="s">
        <v>534</v>
      </c>
      <c r="AH33" s="35" t="s">
        <v>781</v>
      </c>
      <c r="AI33" s="35" t="s">
        <v>781</v>
      </c>
      <c r="AJ33" s="35" t="s">
        <v>781</v>
      </c>
      <c r="AK33" s="35" t="s">
        <v>781</v>
      </c>
      <c r="AL33" s="35" t="s">
        <v>781</v>
      </c>
      <c r="AM33" s="35" t="s">
        <v>534</v>
      </c>
      <c r="AN33" s="35" t="s">
        <v>537</v>
      </c>
      <c r="AO33" s="35" t="s">
        <v>538</v>
      </c>
      <c r="AP33" s="35" t="s">
        <v>539</v>
      </c>
      <c r="AQ33" s="35" t="s">
        <v>540</v>
      </c>
      <c r="AR33" s="35" t="s">
        <v>541</v>
      </c>
      <c r="AS33" s="35" t="s">
        <v>542</v>
      </c>
      <c r="AT33" s="37" t="s">
        <v>547</v>
      </c>
    </row>
    <row r="34" spans="1:46" ht="15" x14ac:dyDescent="0.25">
      <c r="A34" s="35" t="s">
        <v>579</v>
      </c>
      <c r="B34" s="39" t="s">
        <v>580</v>
      </c>
      <c r="C34" s="39" t="s">
        <v>330</v>
      </c>
      <c r="D34" s="39" t="s">
        <v>328</v>
      </c>
      <c r="E34" s="39" t="s">
        <v>329</v>
      </c>
      <c r="F34" s="39" t="s">
        <v>326</v>
      </c>
      <c r="G34" s="39" t="s">
        <v>536</v>
      </c>
      <c r="H34" s="39"/>
      <c r="I34" s="39" t="s">
        <v>332</v>
      </c>
      <c r="J34" s="38" t="str">
        <f>_xlfn.XLOOKUP(D34,[2]Relatorio!$C:$C,[2]Relatorio!$B:$B)</f>
        <v>Não Informado</v>
      </c>
      <c r="K34" s="35" t="s">
        <v>543</v>
      </c>
      <c r="L34" s="39" t="s">
        <v>770</v>
      </c>
      <c r="M34" s="35" t="s">
        <v>544</v>
      </c>
      <c r="N34" s="39" t="s">
        <v>771</v>
      </c>
      <c r="O34" s="35" t="s">
        <v>545</v>
      </c>
      <c r="P34" s="39" t="s">
        <v>772</v>
      </c>
      <c r="Q34" s="37" t="s">
        <v>568</v>
      </c>
      <c r="R34" s="39"/>
      <c r="S34" s="42" t="s">
        <v>660</v>
      </c>
      <c r="T34" s="39" t="s">
        <v>307</v>
      </c>
      <c r="U34" s="39" t="s">
        <v>669</v>
      </c>
      <c r="V34" s="39" t="s">
        <v>773</v>
      </c>
      <c r="W34" s="35" t="s">
        <v>528</v>
      </c>
      <c r="X34" s="35" t="s">
        <v>529</v>
      </c>
      <c r="Y34" s="35" t="s">
        <v>530</v>
      </c>
      <c r="Z34" s="35" t="s">
        <v>531</v>
      </c>
      <c r="AA34" s="35" t="s">
        <v>532</v>
      </c>
      <c r="AB34" s="35" t="s">
        <v>531</v>
      </c>
      <c r="AC34" s="35" t="s">
        <v>311</v>
      </c>
      <c r="AD34" s="35" t="s">
        <v>418</v>
      </c>
      <c r="AE34" s="35" t="s">
        <v>533</v>
      </c>
      <c r="AF34" s="35" t="s">
        <v>781</v>
      </c>
      <c r="AG34" s="35" t="s">
        <v>534</v>
      </c>
      <c r="AH34" s="35" t="s">
        <v>781</v>
      </c>
      <c r="AI34" s="35" t="s">
        <v>781</v>
      </c>
      <c r="AJ34" s="35" t="s">
        <v>781</v>
      </c>
      <c r="AK34" s="35" t="s">
        <v>781</v>
      </c>
      <c r="AL34" s="35" t="s">
        <v>781</v>
      </c>
      <c r="AM34" s="35" t="s">
        <v>534</v>
      </c>
      <c r="AN34" s="35" t="s">
        <v>537</v>
      </c>
      <c r="AO34" s="35" t="s">
        <v>538</v>
      </c>
      <c r="AP34" s="35" t="s">
        <v>539</v>
      </c>
      <c r="AQ34" s="35" t="s">
        <v>540</v>
      </c>
      <c r="AR34" s="35" t="s">
        <v>541</v>
      </c>
      <c r="AS34" s="35" t="s">
        <v>542</v>
      </c>
      <c r="AT34" s="37" t="s">
        <v>547</v>
      </c>
    </row>
  </sheetData>
  <autoFilter ref="A1:AT34" xr:uid="{CBA963D5-CDAF-4E1B-9AA9-F93E6ADBF87B}">
    <filterColumn colId="9">
      <filters>
        <filter val="Não Informado"/>
        <filter val="#N/D"/>
      </filters>
    </filterColumn>
  </autoFilter>
  <phoneticPr fontId="10" type="noConversion"/>
  <conditionalFormatting sqref="D1">
    <cfRule type="duplicateValues" dxfId="8" priority="2"/>
    <cfRule type="duplicateValues" dxfId="7" priority="3"/>
  </conditionalFormatting>
  <conditionalFormatting sqref="J1">
    <cfRule type="duplicateValues" dxfId="6" priority="1"/>
  </conditionalFormatting>
  <conditionalFormatting sqref="J1:J34">
    <cfRule type="duplicateValues" dxfId="5" priority="4"/>
    <cfRule type="duplicateValues" dxfId="4" priority="5"/>
  </conditionalFormatting>
  <conditionalFormatting sqref="J2:J34">
    <cfRule type="duplicateValues" dxfId="3" priority="6"/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F17A1-5D42-4155-9393-3F9BE5DF25E3}">
  <dimension ref="A4:Y34"/>
  <sheetViews>
    <sheetView topLeftCell="M3" workbookViewId="0">
      <selection activeCell="P11" sqref="P11:P32"/>
    </sheetView>
  </sheetViews>
  <sheetFormatPr defaultRowHeight="12.75" x14ac:dyDescent="0.2"/>
  <cols>
    <col min="2" max="2" width="11.85546875" bestFit="1" customWidth="1"/>
    <col min="3" max="3" width="16" bestFit="1" customWidth="1"/>
    <col min="4" max="4" width="13.42578125" bestFit="1" customWidth="1"/>
    <col min="5" max="5" width="50" bestFit="1" customWidth="1"/>
    <col min="6" max="6" width="13.85546875" bestFit="1" customWidth="1"/>
    <col min="7" max="7" width="45" bestFit="1" customWidth="1"/>
    <col min="8" max="8" width="22.7109375" bestFit="1" customWidth="1"/>
    <col min="9" max="9" width="10.28515625" bestFit="1" customWidth="1"/>
    <col min="10" max="10" width="12" customWidth="1"/>
    <col min="11" max="11" width="10.85546875" customWidth="1"/>
    <col min="12" max="12" width="58" bestFit="1" customWidth="1"/>
    <col min="13" max="13" width="9.85546875" customWidth="1"/>
    <col min="14" max="14" width="14" customWidth="1"/>
    <col min="15" max="15" width="19.5703125" bestFit="1" customWidth="1"/>
    <col min="16" max="16" width="17" bestFit="1" customWidth="1"/>
    <col min="17" max="17" width="14.42578125" bestFit="1" customWidth="1"/>
    <col min="18" max="18" width="13.85546875" bestFit="1" customWidth="1"/>
    <col min="19" max="19" width="8.7109375" bestFit="1" customWidth="1"/>
    <col min="20" max="20" width="18.85546875" bestFit="1" customWidth="1"/>
    <col min="21" max="21" width="14.7109375" customWidth="1"/>
    <col min="22" max="23" width="9.28515625" bestFit="1" customWidth="1"/>
    <col min="24" max="24" width="15.28515625" bestFit="1" customWidth="1"/>
  </cols>
  <sheetData>
    <row r="4" spans="1:25" x14ac:dyDescent="0.2">
      <c r="H4" s="1" t="s">
        <v>0</v>
      </c>
    </row>
    <row r="5" spans="1:25" x14ac:dyDescent="0.2">
      <c r="H5" s="1" t="s">
        <v>1</v>
      </c>
    </row>
    <row r="6" spans="1:25" x14ac:dyDescent="0.2">
      <c r="H6" s="1" t="s">
        <v>2</v>
      </c>
    </row>
    <row r="10" spans="1:25" ht="40.5" customHeight="1" x14ac:dyDescent="0.2">
      <c r="A10" s="2" t="s">
        <v>3</v>
      </c>
      <c r="B10" s="2" t="s">
        <v>4</v>
      </c>
      <c r="C10" s="2"/>
      <c r="D10" s="3" t="s">
        <v>5</v>
      </c>
      <c r="E10" s="4" t="s">
        <v>6</v>
      </c>
      <c r="F10" s="4" t="s">
        <v>7</v>
      </c>
      <c r="G10" s="4" t="s">
        <v>8</v>
      </c>
      <c r="H10" s="2" t="s">
        <v>9</v>
      </c>
      <c r="I10" s="3" t="s">
        <v>10</v>
      </c>
      <c r="J10" s="5" t="s">
        <v>11</v>
      </c>
      <c r="K10" s="5" t="s">
        <v>12</v>
      </c>
      <c r="L10" s="4" t="s">
        <v>13</v>
      </c>
      <c r="M10" s="5" t="s">
        <v>14</v>
      </c>
      <c r="N10" s="3" t="s">
        <v>5</v>
      </c>
      <c r="O10" s="2" t="s">
        <v>15</v>
      </c>
      <c r="P10" s="2" t="s">
        <v>16</v>
      </c>
      <c r="Q10" s="2" t="s">
        <v>17</v>
      </c>
      <c r="R10" s="2" t="s">
        <v>18</v>
      </c>
      <c r="S10" s="2" t="s">
        <v>19</v>
      </c>
      <c r="T10" s="4" t="s">
        <v>20</v>
      </c>
      <c r="U10" s="4" t="s">
        <v>21</v>
      </c>
      <c r="V10" s="2" t="s">
        <v>22</v>
      </c>
      <c r="W10" s="5" t="s">
        <v>23</v>
      </c>
      <c r="X10" s="2" t="s">
        <v>24</v>
      </c>
      <c r="Y10" s="5" t="s">
        <v>25</v>
      </c>
    </row>
    <row r="11" spans="1:25" x14ac:dyDescent="0.2">
      <c r="A11" s="6">
        <v>1</v>
      </c>
      <c r="B11" s="7" t="s">
        <v>26</v>
      </c>
      <c r="C11" s="7" t="s">
        <v>27</v>
      </c>
      <c r="D11" s="7" t="s">
        <v>28</v>
      </c>
      <c r="E11" s="7" t="s">
        <v>29</v>
      </c>
      <c r="F11" s="7" t="s">
        <v>30</v>
      </c>
      <c r="G11" s="7" t="s">
        <v>31</v>
      </c>
      <c r="H11" s="7" t="s">
        <v>32</v>
      </c>
      <c r="I11" s="8">
        <v>1583.4</v>
      </c>
      <c r="J11" s="8">
        <v>1181.7</v>
      </c>
      <c r="K11" s="8">
        <v>1318.2</v>
      </c>
      <c r="L11" s="7" t="s">
        <v>33</v>
      </c>
      <c r="M11" s="7" t="s">
        <v>34</v>
      </c>
      <c r="N11" s="7" t="s">
        <v>35</v>
      </c>
      <c r="O11" s="7" t="s">
        <v>36</v>
      </c>
      <c r="P11" s="7" t="s">
        <v>30</v>
      </c>
      <c r="Q11" s="7" t="s">
        <v>37</v>
      </c>
      <c r="R11" s="7" t="s">
        <v>38</v>
      </c>
      <c r="S11" s="7" t="s">
        <v>39</v>
      </c>
      <c r="T11" s="9" t="s">
        <v>40</v>
      </c>
      <c r="U11" s="9" t="s">
        <v>41</v>
      </c>
      <c r="V11" s="10">
        <v>3506</v>
      </c>
      <c r="W11" s="6">
        <v>8</v>
      </c>
      <c r="X11" s="10">
        <v>45806</v>
      </c>
      <c r="Y11" s="6">
        <v>6</v>
      </c>
    </row>
    <row r="12" spans="1:25" x14ac:dyDescent="0.2">
      <c r="A12" s="6">
        <v>3</v>
      </c>
      <c r="B12" s="7" t="s">
        <v>43</v>
      </c>
      <c r="C12" s="7" t="s">
        <v>27</v>
      </c>
      <c r="D12" s="7" t="s">
        <v>44</v>
      </c>
      <c r="E12" s="7" t="s">
        <v>45</v>
      </c>
      <c r="F12" s="7" t="s">
        <v>46</v>
      </c>
      <c r="G12" s="7" t="s">
        <v>47</v>
      </c>
      <c r="H12" s="7" t="s">
        <v>48</v>
      </c>
      <c r="I12" s="8">
        <v>3312.96</v>
      </c>
      <c r="J12" s="8">
        <v>2472.48</v>
      </c>
      <c r="K12" s="8">
        <v>2758.08</v>
      </c>
      <c r="L12" s="7" t="s">
        <v>49</v>
      </c>
      <c r="M12" s="7" t="s">
        <v>50</v>
      </c>
      <c r="N12" s="7" t="s">
        <v>51</v>
      </c>
      <c r="O12" s="7" t="s">
        <v>52</v>
      </c>
      <c r="P12" s="7" t="s">
        <v>46</v>
      </c>
      <c r="Q12" s="7" t="s">
        <v>53</v>
      </c>
      <c r="R12" s="7" t="s">
        <v>54</v>
      </c>
      <c r="S12" s="7" t="s">
        <v>55</v>
      </c>
      <c r="T12" s="9" t="s">
        <v>56</v>
      </c>
      <c r="U12" s="9" t="s">
        <v>57</v>
      </c>
      <c r="V12" s="10" t="s">
        <v>58</v>
      </c>
      <c r="W12" s="6"/>
      <c r="X12" s="11" t="s">
        <v>59</v>
      </c>
      <c r="Y12" s="6">
        <v>6</v>
      </c>
    </row>
    <row r="13" spans="1:25" x14ac:dyDescent="0.2">
      <c r="A13" s="6">
        <v>4</v>
      </c>
      <c r="B13" s="7" t="s">
        <v>60</v>
      </c>
      <c r="C13" s="7" t="s">
        <v>27</v>
      </c>
      <c r="D13" s="7" t="s">
        <v>61</v>
      </c>
      <c r="E13" s="7" t="s">
        <v>62</v>
      </c>
      <c r="F13" s="7" t="s">
        <v>63</v>
      </c>
      <c r="G13" s="7" t="s">
        <v>64</v>
      </c>
      <c r="H13" s="7" t="s">
        <v>65</v>
      </c>
      <c r="I13" s="8">
        <v>4043.76</v>
      </c>
      <c r="J13" s="8">
        <v>3017.88</v>
      </c>
      <c r="K13" s="8">
        <v>3366.48</v>
      </c>
      <c r="L13" s="7" t="s">
        <v>66</v>
      </c>
      <c r="M13" s="7" t="s">
        <v>34</v>
      </c>
      <c r="N13" s="7" t="s">
        <v>67</v>
      </c>
      <c r="O13" s="7" t="s">
        <v>68</v>
      </c>
      <c r="P13" s="7" t="s">
        <v>69</v>
      </c>
      <c r="Q13" s="7" t="s">
        <v>70</v>
      </c>
      <c r="R13" s="7" t="s">
        <v>71</v>
      </c>
      <c r="S13" s="7" t="s">
        <v>72</v>
      </c>
      <c r="T13" s="9" t="s">
        <v>40</v>
      </c>
      <c r="U13" s="9" t="s">
        <v>41</v>
      </c>
      <c r="V13" s="10">
        <v>1122</v>
      </c>
      <c r="W13" s="6">
        <v>3</v>
      </c>
      <c r="X13" s="11" t="s">
        <v>73</v>
      </c>
      <c r="Y13" s="6">
        <v>8</v>
      </c>
    </row>
    <row r="14" spans="1:25" x14ac:dyDescent="0.2">
      <c r="A14" s="6">
        <v>5</v>
      </c>
      <c r="B14" s="7" t="s">
        <v>74</v>
      </c>
      <c r="C14" s="7" t="s">
        <v>27</v>
      </c>
      <c r="D14" s="7" t="s">
        <v>75</v>
      </c>
      <c r="E14" s="7" t="s">
        <v>76</v>
      </c>
      <c r="F14" s="7" t="s">
        <v>77</v>
      </c>
      <c r="G14" s="7" t="s">
        <v>78</v>
      </c>
      <c r="H14" s="7" t="s">
        <v>48</v>
      </c>
      <c r="I14" s="8">
        <v>438.48</v>
      </c>
      <c r="J14" s="8">
        <v>327.24</v>
      </c>
      <c r="K14" s="8">
        <v>365.04</v>
      </c>
      <c r="L14" s="7" t="s">
        <v>79</v>
      </c>
      <c r="M14" s="7" t="s">
        <v>34</v>
      </c>
      <c r="N14" s="7" t="s">
        <v>80</v>
      </c>
      <c r="O14" s="7" t="s">
        <v>81</v>
      </c>
      <c r="P14" s="7" t="s">
        <v>77</v>
      </c>
      <c r="Q14" s="7" t="s">
        <v>82</v>
      </c>
      <c r="R14" s="7" t="s">
        <v>83</v>
      </c>
      <c r="S14" s="7" t="s">
        <v>84</v>
      </c>
      <c r="T14" s="9" t="s">
        <v>85</v>
      </c>
      <c r="U14" s="9" t="s">
        <v>41</v>
      </c>
      <c r="V14" s="10">
        <v>1640</v>
      </c>
      <c r="W14" s="6">
        <v>3</v>
      </c>
      <c r="X14" s="11" t="s">
        <v>86</v>
      </c>
      <c r="Y14" s="6">
        <v>2</v>
      </c>
    </row>
    <row r="15" spans="1:25" s="21" customFormat="1" x14ac:dyDescent="0.2">
      <c r="A15" s="12">
        <v>6</v>
      </c>
      <c r="B15" s="13" t="s">
        <v>87</v>
      </c>
      <c r="C15" s="14"/>
      <c r="D15" s="15">
        <v>24433</v>
      </c>
      <c r="E15" s="13" t="s">
        <v>88</v>
      </c>
      <c r="F15" s="13" t="s">
        <v>89</v>
      </c>
      <c r="G15" s="13" t="s">
        <v>90</v>
      </c>
      <c r="H15" s="13" t="s">
        <v>91</v>
      </c>
      <c r="I15" s="16">
        <v>5846.4</v>
      </c>
      <c r="J15" s="16">
        <v>4363.2</v>
      </c>
      <c r="K15" s="16">
        <v>4867.2</v>
      </c>
      <c r="L15" s="13" t="s">
        <v>92</v>
      </c>
      <c r="M15" s="13" t="s">
        <v>50</v>
      </c>
      <c r="N15" s="15">
        <v>31736</v>
      </c>
      <c r="O15" s="13" t="s">
        <v>81</v>
      </c>
      <c r="P15" s="13" t="s">
        <v>93</v>
      </c>
      <c r="Q15" s="13" t="s">
        <v>94</v>
      </c>
      <c r="R15" s="17">
        <v>26815838288</v>
      </c>
      <c r="S15" s="17">
        <v>2018</v>
      </c>
      <c r="T15" s="18" t="s">
        <v>56</v>
      </c>
      <c r="U15" s="18" t="s">
        <v>57</v>
      </c>
      <c r="V15" s="19" t="s">
        <v>95</v>
      </c>
      <c r="W15" s="12"/>
      <c r="X15" s="20" t="s">
        <v>96</v>
      </c>
      <c r="Y15" s="12">
        <v>5</v>
      </c>
    </row>
    <row r="16" spans="1:25" x14ac:dyDescent="0.2">
      <c r="A16" s="6">
        <v>7</v>
      </c>
      <c r="B16" s="7" t="s">
        <v>97</v>
      </c>
      <c r="C16" s="7" t="s">
        <v>27</v>
      </c>
      <c r="D16" s="7" t="s">
        <v>98</v>
      </c>
      <c r="E16" s="7" t="s">
        <v>99</v>
      </c>
      <c r="F16" s="7" t="s">
        <v>100</v>
      </c>
      <c r="G16" s="7" t="s">
        <v>101</v>
      </c>
      <c r="H16" s="7" t="s">
        <v>102</v>
      </c>
      <c r="I16" s="8">
        <v>5675.88</v>
      </c>
      <c r="J16" s="8">
        <v>4235.9399999999996</v>
      </c>
      <c r="K16" s="8">
        <v>4725.24</v>
      </c>
      <c r="L16" s="7" t="s">
        <v>103</v>
      </c>
      <c r="M16" s="7" t="s">
        <v>34</v>
      </c>
      <c r="N16" s="7" t="s">
        <v>104</v>
      </c>
      <c r="O16" s="7" t="s">
        <v>105</v>
      </c>
      <c r="P16" s="7" t="s">
        <v>100</v>
      </c>
      <c r="Q16" s="7" t="s">
        <v>106</v>
      </c>
      <c r="R16" s="7" t="s">
        <v>107</v>
      </c>
      <c r="S16" s="7" t="s">
        <v>108</v>
      </c>
      <c r="T16" s="9" t="s">
        <v>56</v>
      </c>
      <c r="U16" s="9" t="s">
        <v>57</v>
      </c>
      <c r="V16" s="10">
        <v>1987</v>
      </c>
      <c r="W16" s="6"/>
      <c r="X16" s="11" t="s">
        <v>109</v>
      </c>
      <c r="Y16" s="6">
        <v>4</v>
      </c>
    </row>
    <row r="17" spans="1:25" x14ac:dyDescent="0.2">
      <c r="A17" s="6">
        <v>8</v>
      </c>
      <c r="B17" s="7" t="s">
        <v>110</v>
      </c>
      <c r="C17" s="7" t="s">
        <v>27</v>
      </c>
      <c r="D17" s="7" t="s">
        <v>111</v>
      </c>
      <c r="E17" s="7" t="s">
        <v>112</v>
      </c>
      <c r="F17" s="7" t="s">
        <v>77</v>
      </c>
      <c r="G17" s="7" t="s">
        <v>113</v>
      </c>
      <c r="H17" s="7" t="s">
        <v>48</v>
      </c>
      <c r="I17" s="8">
        <v>974.4</v>
      </c>
      <c r="J17" s="8">
        <v>727.2</v>
      </c>
      <c r="K17" s="8">
        <v>811.2</v>
      </c>
      <c r="L17" s="7" t="s">
        <v>79</v>
      </c>
      <c r="M17" s="7" t="s">
        <v>34</v>
      </c>
      <c r="N17" s="7" t="s">
        <v>80</v>
      </c>
      <c r="O17" s="7" t="s">
        <v>81</v>
      </c>
      <c r="P17" s="7" t="s">
        <v>77</v>
      </c>
      <c r="Q17" s="7" t="s">
        <v>82</v>
      </c>
      <c r="R17" s="7" t="s">
        <v>114</v>
      </c>
      <c r="S17" s="7" t="s">
        <v>115</v>
      </c>
      <c r="T17" s="9" t="s">
        <v>40</v>
      </c>
      <c r="U17" s="9" t="s">
        <v>41</v>
      </c>
      <c r="V17" s="10">
        <v>1640</v>
      </c>
      <c r="W17" s="6">
        <v>3</v>
      </c>
      <c r="X17" s="11" t="s">
        <v>86</v>
      </c>
      <c r="Y17" s="6">
        <v>2</v>
      </c>
    </row>
    <row r="18" spans="1:25" x14ac:dyDescent="0.2">
      <c r="A18" s="6">
        <v>9</v>
      </c>
      <c r="B18" s="7" t="s">
        <v>116</v>
      </c>
      <c r="C18" s="7" t="s">
        <v>27</v>
      </c>
      <c r="D18" s="7" t="s">
        <v>117</v>
      </c>
      <c r="E18" s="7" t="s">
        <v>118</v>
      </c>
      <c r="F18" s="7" t="s">
        <v>119</v>
      </c>
      <c r="G18" s="7" t="s">
        <v>120</v>
      </c>
      <c r="H18" s="7" t="s">
        <v>48</v>
      </c>
      <c r="I18" s="8">
        <v>4482.24</v>
      </c>
      <c r="J18" s="8">
        <v>3345.12</v>
      </c>
      <c r="K18" s="8">
        <v>3731.52</v>
      </c>
      <c r="L18" s="7" t="s">
        <v>121</v>
      </c>
      <c r="M18" s="7" t="s">
        <v>34</v>
      </c>
      <c r="N18" s="7" t="s">
        <v>122</v>
      </c>
      <c r="O18" s="7" t="s">
        <v>123</v>
      </c>
      <c r="P18" s="7" t="s">
        <v>119</v>
      </c>
      <c r="Q18" s="7" t="s">
        <v>124</v>
      </c>
      <c r="R18" s="7" t="s">
        <v>125</v>
      </c>
      <c r="S18" s="7" t="s">
        <v>126</v>
      </c>
      <c r="T18" s="9" t="s">
        <v>42</v>
      </c>
      <c r="U18" s="9" t="s">
        <v>41</v>
      </c>
      <c r="V18" s="10" t="s">
        <v>127</v>
      </c>
      <c r="W18" s="6"/>
      <c r="X18" s="11" t="s">
        <v>128</v>
      </c>
      <c r="Y18" s="6">
        <v>0</v>
      </c>
    </row>
    <row r="19" spans="1:25" x14ac:dyDescent="0.2">
      <c r="A19" s="6">
        <v>10</v>
      </c>
      <c r="B19" s="7" t="s">
        <v>129</v>
      </c>
      <c r="C19" s="7" t="s">
        <v>27</v>
      </c>
      <c r="D19" s="7" t="s">
        <v>130</v>
      </c>
      <c r="E19" s="7" t="s">
        <v>131</v>
      </c>
      <c r="F19" s="7" t="s">
        <v>132</v>
      </c>
      <c r="G19" s="7" t="s">
        <v>133</v>
      </c>
      <c r="H19" s="7" t="s">
        <v>134</v>
      </c>
      <c r="I19" s="8">
        <v>4628.3999999999996</v>
      </c>
      <c r="J19" s="8">
        <v>3454.2</v>
      </c>
      <c r="K19" s="8">
        <v>3853.2</v>
      </c>
      <c r="L19" s="7" t="s">
        <v>135</v>
      </c>
      <c r="M19" s="7" t="s">
        <v>34</v>
      </c>
      <c r="N19" s="7" t="s">
        <v>136</v>
      </c>
      <c r="O19" s="7" t="s">
        <v>137</v>
      </c>
      <c r="P19" s="7" t="s">
        <v>132</v>
      </c>
      <c r="Q19" s="7" t="s">
        <v>138</v>
      </c>
      <c r="R19" s="7" t="s">
        <v>139</v>
      </c>
      <c r="S19" s="7" t="s">
        <v>140</v>
      </c>
      <c r="T19" s="7" t="s">
        <v>40</v>
      </c>
      <c r="U19" s="9" t="s">
        <v>41</v>
      </c>
      <c r="V19" s="10">
        <v>2428</v>
      </c>
      <c r="W19" s="6">
        <v>7</v>
      </c>
      <c r="X19" s="11" t="s">
        <v>141</v>
      </c>
      <c r="Y19" s="6">
        <v>0</v>
      </c>
    </row>
    <row r="20" spans="1:25" x14ac:dyDescent="0.2">
      <c r="A20" s="6">
        <v>11</v>
      </c>
      <c r="B20" s="7" t="s">
        <v>142</v>
      </c>
      <c r="C20" s="7" t="s">
        <v>27</v>
      </c>
      <c r="D20" s="7" t="s">
        <v>143</v>
      </c>
      <c r="E20" s="7" t="s">
        <v>144</v>
      </c>
      <c r="F20" s="7" t="s">
        <v>145</v>
      </c>
      <c r="G20" s="7" t="s">
        <v>146</v>
      </c>
      <c r="H20" s="7" t="s">
        <v>147</v>
      </c>
      <c r="I20" s="8">
        <v>5846.4</v>
      </c>
      <c r="J20" s="8">
        <v>4363.2</v>
      </c>
      <c r="K20" s="8">
        <v>4867.2</v>
      </c>
      <c r="L20" s="7" t="s">
        <v>148</v>
      </c>
      <c r="M20" s="7" t="s">
        <v>34</v>
      </c>
      <c r="N20" s="7" t="s">
        <v>149</v>
      </c>
      <c r="O20" s="7" t="s">
        <v>150</v>
      </c>
      <c r="P20" s="7" t="s">
        <v>145</v>
      </c>
      <c r="Q20" s="7" t="s">
        <v>151</v>
      </c>
      <c r="R20" s="7" t="s">
        <v>152</v>
      </c>
      <c r="S20" s="7" t="s">
        <v>153</v>
      </c>
      <c r="T20" s="7" t="s">
        <v>85</v>
      </c>
      <c r="U20" s="9" t="s">
        <v>41</v>
      </c>
      <c r="V20" s="11" t="s">
        <v>154</v>
      </c>
      <c r="W20" s="6">
        <v>5</v>
      </c>
      <c r="X20" s="11" t="s">
        <v>155</v>
      </c>
      <c r="Y20" s="6">
        <v>8</v>
      </c>
    </row>
    <row r="21" spans="1:25" x14ac:dyDescent="0.2">
      <c r="A21" s="6">
        <v>12</v>
      </c>
      <c r="B21" s="7" t="s">
        <v>156</v>
      </c>
      <c r="C21" s="7" t="s">
        <v>27</v>
      </c>
      <c r="D21" s="7" t="s">
        <v>157</v>
      </c>
      <c r="E21" s="7" t="s">
        <v>158</v>
      </c>
      <c r="F21" s="7" t="s">
        <v>159</v>
      </c>
      <c r="G21" s="7" t="s">
        <v>160</v>
      </c>
      <c r="H21" s="7" t="s">
        <v>161</v>
      </c>
      <c r="I21" s="8">
        <v>828.24</v>
      </c>
      <c r="J21" s="8">
        <v>618.12</v>
      </c>
      <c r="K21" s="8">
        <v>689.52</v>
      </c>
      <c r="L21" s="7" t="s">
        <v>162</v>
      </c>
      <c r="M21" s="7" t="s">
        <v>34</v>
      </c>
      <c r="N21" s="7" t="s">
        <v>163</v>
      </c>
      <c r="O21" s="7" t="s">
        <v>164</v>
      </c>
      <c r="P21" s="7" t="s">
        <v>159</v>
      </c>
      <c r="Q21" s="7" t="s">
        <v>165</v>
      </c>
      <c r="R21" s="7" t="s">
        <v>166</v>
      </c>
      <c r="S21" s="7" t="s">
        <v>167</v>
      </c>
      <c r="T21" s="7" t="s">
        <v>40</v>
      </c>
      <c r="U21" s="9" t="s">
        <v>41</v>
      </c>
      <c r="V21" s="10">
        <v>2844</v>
      </c>
      <c r="W21" s="6">
        <v>4</v>
      </c>
      <c r="X21" s="11" t="s">
        <v>168</v>
      </c>
      <c r="Y21" s="6">
        <v>7</v>
      </c>
    </row>
    <row r="22" spans="1:25" x14ac:dyDescent="0.2">
      <c r="A22" s="6">
        <v>13</v>
      </c>
      <c r="B22" s="7" t="s">
        <v>169</v>
      </c>
      <c r="C22" s="7" t="s">
        <v>27</v>
      </c>
      <c r="D22" s="7" t="s">
        <v>170</v>
      </c>
      <c r="E22" s="7" t="s">
        <v>171</v>
      </c>
      <c r="F22" s="7" t="s">
        <v>172</v>
      </c>
      <c r="G22" s="7" t="s">
        <v>173</v>
      </c>
      <c r="H22" s="7" t="s">
        <v>174</v>
      </c>
      <c r="I22" s="8">
        <v>5846.4</v>
      </c>
      <c r="J22" s="8">
        <v>4363.2</v>
      </c>
      <c r="K22" s="8">
        <v>4867.2</v>
      </c>
      <c r="L22" s="7" t="s">
        <v>175</v>
      </c>
      <c r="M22" s="7" t="s">
        <v>50</v>
      </c>
      <c r="N22" s="7" t="s">
        <v>176</v>
      </c>
      <c r="O22" s="7" t="s">
        <v>177</v>
      </c>
      <c r="P22" s="7" t="s">
        <v>172</v>
      </c>
      <c r="Q22" s="7" t="s">
        <v>178</v>
      </c>
      <c r="R22" s="7" t="s">
        <v>179</v>
      </c>
      <c r="S22" s="7" t="s">
        <v>180</v>
      </c>
      <c r="T22" s="9" t="s">
        <v>56</v>
      </c>
      <c r="U22" s="7" t="s">
        <v>57</v>
      </c>
      <c r="V22" s="11" t="s">
        <v>181</v>
      </c>
      <c r="W22" s="6"/>
      <c r="X22" s="11" t="s">
        <v>182</v>
      </c>
      <c r="Y22" s="6">
        <v>1</v>
      </c>
    </row>
    <row r="23" spans="1:25" x14ac:dyDescent="0.2">
      <c r="A23" s="6">
        <v>14</v>
      </c>
      <c r="B23" s="7" t="s">
        <v>183</v>
      </c>
      <c r="C23" s="7" t="s">
        <v>27</v>
      </c>
      <c r="D23" s="7" t="s">
        <v>184</v>
      </c>
      <c r="E23" s="7" t="s">
        <v>185</v>
      </c>
      <c r="F23" s="7" t="s">
        <v>186</v>
      </c>
      <c r="G23" s="7" t="s">
        <v>187</v>
      </c>
      <c r="H23" s="7" t="s">
        <v>102</v>
      </c>
      <c r="I23" s="8">
        <v>5846.4</v>
      </c>
      <c r="J23" s="8">
        <v>4363.2</v>
      </c>
      <c r="K23" s="8">
        <v>4867.2</v>
      </c>
      <c r="L23" s="7" t="s">
        <v>188</v>
      </c>
      <c r="M23" s="7" t="s">
        <v>34</v>
      </c>
      <c r="N23" s="7" t="s">
        <v>189</v>
      </c>
      <c r="O23" s="7" t="s">
        <v>81</v>
      </c>
      <c r="P23" s="7" t="s">
        <v>186</v>
      </c>
      <c r="Q23" s="7" t="s">
        <v>190</v>
      </c>
      <c r="R23" s="7" t="s">
        <v>191</v>
      </c>
      <c r="S23" s="7" t="s">
        <v>192</v>
      </c>
      <c r="T23" s="7" t="s">
        <v>40</v>
      </c>
      <c r="U23" s="7" t="s">
        <v>41</v>
      </c>
      <c r="V23" s="10">
        <v>5602</v>
      </c>
      <c r="W23" s="6">
        <v>2</v>
      </c>
      <c r="X23" s="11" t="s">
        <v>193</v>
      </c>
      <c r="Y23" s="6">
        <v>8</v>
      </c>
    </row>
    <row r="24" spans="1:25" x14ac:dyDescent="0.2">
      <c r="A24" s="6">
        <v>15</v>
      </c>
      <c r="B24" s="7" t="s">
        <v>194</v>
      </c>
      <c r="C24" s="7" t="s">
        <v>27</v>
      </c>
      <c r="D24" s="7" t="s">
        <v>195</v>
      </c>
      <c r="E24" s="7" t="s">
        <v>196</v>
      </c>
      <c r="F24" s="7" t="s">
        <v>197</v>
      </c>
      <c r="G24" s="7" t="s">
        <v>198</v>
      </c>
      <c r="H24" s="7" t="s">
        <v>199</v>
      </c>
      <c r="I24" s="8">
        <v>5846.4</v>
      </c>
      <c r="J24" s="8">
        <v>4363.2</v>
      </c>
      <c r="K24" s="8">
        <v>4867.2</v>
      </c>
      <c r="L24" s="7" t="s">
        <v>200</v>
      </c>
      <c r="M24" s="7" t="s">
        <v>50</v>
      </c>
      <c r="N24" s="7" t="s">
        <v>201</v>
      </c>
      <c r="O24" s="7" t="s">
        <v>202</v>
      </c>
      <c r="P24" s="7" t="s">
        <v>197</v>
      </c>
      <c r="Q24" s="7" t="s">
        <v>203</v>
      </c>
      <c r="R24" s="7" t="s">
        <v>204</v>
      </c>
      <c r="S24" s="7" t="s">
        <v>180</v>
      </c>
      <c r="T24" s="7" t="s">
        <v>40</v>
      </c>
      <c r="U24" s="9" t="s">
        <v>41</v>
      </c>
      <c r="V24" s="11" t="s">
        <v>205</v>
      </c>
      <c r="W24" s="6">
        <v>2</v>
      </c>
      <c r="X24" s="11" t="s">
        <v>206</v>
      </c>
      <c r="Y24" s="6">
        <v>1</v>
      </c>
    </row>
    <row r="25" spans="1:25" x14ac:dyDescent="0.2">
      <c r="A25" s="6">
        <v>16</v>
      </c>
      <c r="B25" s="7" t="s">
        <v>207</v>
      </c>
      <c r="C25" s="7" t="s">
        <v>27</v>
      </c>
      <c r="D25" s="7" t="s">
        <v>208</v>
      </c>
      <c r="E25" s="7" t="s">
        <v>209</v>
      </c>
      <c r="F25" s="7" t="s">
        <v>210</v>
      </c>
      <c r="G25" s="7" t="s">
        <v>211</v>
      </c>
      <c r="H25" s="7" t="s">
        <v>212</v>
      </c>
      <c r="I25" s="8">
        <v>2338.56</v>
      </c>
      <c r="J25" s="8">
        <v>1745.28</v>
      </c>
      <c r="K25" s="8">
        <v>1946.88</v>
      </c>
      <c r="L25" s="7" t="s">
        <v>213</v>
      </c>
      <c r="M25" s="7" t="s">
        <v>50</v>
      </c>
      <c r="N25" s="7" t="s">
        <v>214</v>
      </c>
      <c r="O25" s="7" t="s">
        <v>215</v>
      </c>
      <c r="P25" s="7" t="s">
        <v>216</v>
      </c>
      <c r="Q25" s="7" t="s">
        <v>217</v>
      </c>
      <c r="R25" s="7" t="s">
        <v>218</v>
      </c>
      <c r="S25" s="7" t="s">
        <v>108</v>
      </c>
      <c r="T25" s="9" t="s">
        <v>56</v>
      </c>
      <c r="U25" s="9" t="s">
        <v>57</v>
      </c>
      <c r="V25" s="10" t="s">
        <v>219</v>
      </c>
      <c r="W25" s="6"/>
      <c r="X25" s="11" t="s">
        <v>220</v>
      </c>
      <c r="Y25" s="6">
        <v>8</v>
      </c>
    </row>
    <row r="26" spans="1:25" x14ac:dyDescent="0.2">
      <c r="A26" s="6">
        <v>17</v>
      </c>
      <c r="B26" s="7" t="s">
        <v>221</v>
      </c>
      <c r="C26" s="7" t="s">
        <v>27</v>
      </c>
      <c r="D26" s="7" t="s">
        <v>222</v>
      </c>
      <c r="E26" s="7" t="s">
        <v>223</v>
      </c>
      <c r="F26" s="7" t="s">
        <v>224</v>
      </c>
      <c r="G26" s="7" t="s">
        <v>225</v>
      </c>
      <c r="H26" s="7" t="s">
        <v>134</v>
      </c>
      <c r="I26" s="8">
        <v>4774.5600000000004</v>
      </c>
      <c r="J26" s="8">
        <v>3563.28</v>
      </c>
      <c r="K26" s="8">
        <v>3974.88</v>
      </c>
      <c r="L26" s="7" t="s">
        <v>226</v>
      </c>
      <c r="M26" s="7" t="s">
        <v>50</v>
      </c>
      <c r="N26" s="7" t="s">
        <v>227</v>
      </c>
      <c r="O26" s="7" t="s">
        <v>228</v>
      </c>
      <c r="P26" s="7" t="s">
        <v>224</v>
      </c>
      <c r="Q26" s="7" t="s">
        <v>229</v>
      </c>
      <c r="R26" s="7" t="s">
        <v>230</v>
      </c>
      <c r="S26" s="7" t="s">
        <v>84</v>
      </c>
      <c r="T26" s="9" t="s">
        <v>56</v>
      </c>
      <c r="U26" s="9" t="s">
        <v>41</v>
      </c>
      <c r="V26" s="10" t="s">
        <v>181</v>
      </c>
      <c r="W26" s="6"/>
      <c r="X26" s="11" t="s">
        <v>231</v>
      </c>
      <c r="Y26" s="6">
        <v>0</v>
      </c>
    </row>
    <row r="27" spans="1:25" x14ac:dyDescent="0.2">
      <c r="A27" s="6">
        <v>18</v>
      </c>
      <c r="B27" s="7" t="s">
        <v>232</v>
      </c>
      <c r="C27" s="7" t="s">
        <v>27</v>
      </c>
      <c r="D27" s="7" t="s">
        <v>233</v>
      </c>
      <c r="E27" s="7" t="s">
        <v>234</v>
      </c>
      <c r="F27" s="7" t="s">
        <v>235</v>
      </c>
      <c r="G27" s="7" t="s">
        <v>236</v>
      </c>
      <c r="H27" s="7" t="s">
        <v>237</v>
      </c>
      <c r="I27" s="8">
        <v>5773.32</v>
      </c>
      <c r="J27" s="8">
        <v>4308.66</v>
      </c>
      <c r="K27" s="8">
        <v>4806.3599999999997</v>
      </c>
      <c r="L27" s="7" t="s">
        <v>238</v>
      </c>
      <c r="M27" s="7" t="s">
        <v>50</v>
      </c>
      <c r="N27" s="7" t="s">
        <v>239</v>
      </c>
      <c r="O27" s="7" t="s">
        <v>240</v>
      </c>
      <c r="P27" s="7" t="s">
        <v>235</v>
      </c>
      <c r="Q27" s="7" t="s">
        <v>241</v>
      </c>
      <c r="R27" s="7" t="s">
        <v>242</v>
      </c>
      <c r="S27" s="7" t="s">
        <v>108</v>
      </c>
      <c r="T27" s="9" t="s">
        <v>56</v>
      </c>
      <c r="U27" s="9" t="s">
        <v>41</v>
      </c>
      <c r="V27" s="10" t="s">
        <v>243</v>
      </c>
      <c r="W27" s="6"/>
      <c r="X27" s="11" t="s">
        <v>244</v>
      </c>
      <c r="Y27" s="6">
        <v>2</v>
      </c>
    </row>
    <row r="28" spans="1:25" x14ac:dyDescent="0.2">
      <c r="A28" s="6">
        <v>19</v>
      </c>
      <c r="B28" s="7" t="s">
        <v>245</v>
      </c>
      <c r="C28" s="7" t="s">
        <v>27</v>
      </c>
      <c r="D28" s="7" t="s">
        <v>246</v>
      </c>
      <c r="E28" s="7" t="s">
        <v>247</v>
      </c>
      <c r="F28" s="7" t="s">
        <v>248</v>
      </c>
      <c r="G28" s="7" t="s">
        <v>249</v>
      </c>
      <c r="H28" s="7" t="s">
        <v>65</v>
      </c>
      <c r="I28" s="8">
        <v>3800.16</v>
      </c>
      <c r="J28" s="8">
        <v>2836.08</v>
      </c>
      <c r="K28" s="8">
        <v>3163.68</v>
      </c>
      <c r="L28" s="7" t="s">
        <v>250</v>
      </c>
      <c r="M28" s="7" t="s">
        <v>34</v>
      </c>
      <c r="N28" s="7" t="s">
        <v>251</v>
      </c>
      <c r="O28" s="7" t="s">
        <v>81</v>
      </c>
      <c r="P28" s="7" t="s">
        <v>248</v>
      </c>
      <c r="Q28" s="7" t="s">
        <v>252</v>
      </c>
      <c r="R28" s="7" t="s">
        <v>253</v>
      </c>
      <c r="S28" s="7" t="s">
        <v>126</v>
      </c>
      <c r="T28" s="9" t="s">
        <v>40</v>
      </c>
      <c r="U28" s="9" t="s">
        <v>41</v>
      </c>
      <c r="V28" s="11" t="s">
        <v>254</v>
      </c>
      <c r="W28" s="6">
        <v>6</v>
      </c>
      <c r="X28" s="11" t="s">
        <v>255</v>
      </c>
      <c r="Y28" s="6">
        <v>2</v>
      </c>
    </row>
    <row r="29" spans="1:25" x14ac:dyDescent="0.2">
      <c r="A29" s="6">
        <v>20</v>
      </c>
      <c r="B29" s="7" t="s">
        <v>256</v>
      </c>
      <c r="C29" s="7" t="s">
        <v>27</v>
      </c>
      <c r="D29" s="7" t="s">
        <v>257</v>
      </c>
      <c r="E29" s="7" t="s">
        <v>258</v>
      </c>
      <c r="F29" s="7" t="s">
        <v>259</v>
      </c>
      <c r="G29" s="7" t="s">
        <v>260</v>
      </c>
      <c r="H29" s="7" t="s">
        <v>261</v>
      </c>
      <c r="I29" s="8">
        <v>5846.4</v>
      </c>
      <c r="J29" s="8">
        <v>4363.2</v>
      </c>
      <c r="K29" s="8">
        <v>4867.2</v>
      </c>
      <c r="L29" s="7" t="s">
        <v>262</v>
      </c>
      <c r="M29" s="7" t="s">
        <v>34</v>
      </c>
      <c r="N29" s="7" t="s">
        <v>263</v>
      </c>
      <c r="O29" s="7" t="s">
        <v>264</v>
      </c>
      <c r="P29" s="7" t="s">
        <v>259</v>
      </c>
      <c r="Q29" s="7" t="s">
        <v>265</v>
      </c>
      <c r="R29" s="7" t="s">
        <v>266</v>
      </c>
      <c r="S29" s="7" t="s">
        <v>126</v>
      </c>
      <c r="T29" s="9" t="s">
        <v>40</v>
      </c>
      <c r="U29" s="9" t="s">
        <v>41</v>
      </c>
      <c r="V29" s="11" t="s">
        <v>267</v>
      </c>
      <c r="W29" s="6">
        <v>0</v>
      </c>
      <c r="X29" s="11" t="s">
        <v>268</v>
      </c>
      <c r="Y29" s="6">
        <v>9</v>
      </c>
    </row>
    <row r="30" spans="1:25" x14ac:dyDescent="0.2">
      <c r="A30" s="6">
        <v>21</v>
      </c>
      <c r="B30" s="7" t="s">
        <v>269</v>
      </c>
      <c r="C30" s="7" t="s">
        <v>27</v>
      </c>
      <c r="D30" s="7" t="s">
        <v>270</v>
      </c>
      <c r="E30" s="7" t="s">
        <v>271</v>
      </c>
      <c r="F30" s="7" t="s">
        <v>272</v>
      </c>
      <c r="G30" s="7" t="s">
        <v>273</v>
      </c>
      <c r="H30" s="7" t="s">
        <v>199</v>
      </c>
      <c r="I30" s="8">
        <v>5846.4</v>
      </c>
      <c r="J30" s="8">
        <v>4363.2</v>
      </c>
      <c r="K30" s="8">
        <v>4867.2</v>
      </c>
      <c r="L30" s="7" t="s">
        <v>274</v>
      </c>
      <c r="M30" s="7" t="s">
        <v>50</v>
      </c>
      <c r="N30" s="7" t="s">
        <v>275</v>
      </c>
      <c r="O30" s="7" t="s">
        <v>276</v>
      </c>
      <c r="P30" s="7" t="s">
        <v>277</v>
      </c>
      <c r="Q30" s="7" t="s">
        <v>278</v>
      </c>
      <c r="R30" s="7" t="s">
        <v>279</v>
      </c>
      <c r="S30" s="7" t="s">
        <v>126</v>
      </c>
      <c r="T30" s="9" t="s">
        <v>56</v>
      </c>
      <c r="U30" s="9" t="s">
        <v>57</v>
      </c>
      <c r="V30" s="10" t="s">
        <v>58</v>
      </c>
      <c r="W30" s="6"/>
      <c r="X30" s="11" t="s">
        <v>280</v>
      </c>
      <c r="Y30" s="6">
        <v>2</v>
      </c>
    </row>
    <row r="31" spans="1:25" x14ac:dyDescent="0.2">
      <c r="A31" s="6">
        <v>22</v>
      </c>
      <c r="B31" s="7" t="s">
        <v>281</v>
      </c>
      <c r="C31" s="7" t="s">
        <v>27</v>
      </c>
      <c r="D31" s="7" t="s">
        <v>282</v>
      </c>
      <c r="E31" s="7" t="s">
        <v>283</v>
      </c>
      <c r="F31" s="7" t="s">
        <v>284</v>
      </c>
      <c r="G31" s="7" t="s">
        <v>285</v>
      </c>
      <c r="H31" s="7" t="s">
        <v>65</v>
      </c>
      <c r="I31" s="8">
        <v>4774.5600000000004</v>
      </c>
      <c r="J31" s="8">
        <v>3563.28</v>
      </c>
      <c r="K31" s="8">
        <v>3974.88</v>
      </c>
      <c r="L31" s="7" t="s">
        <v>286</v>
      </c>
      <c r="M31" s="7" t="s">
        <v>34</v>
      </c>
      <c r="N31" s="7" t="s">
        <v>287</v>
      </c>
      <c r="O31" s="7" t="s">
        <v>81</v>
      </c>
      <c r="P31" s="7" t="s">
        <v>284</v>
      </c>
      <c r="Q31" s="7" t="s">
        <v>288</v>
      </c>
      <c r="R31" s="7" t="s">
        <v>289</v>
      </c>
      <c r="S31" s="7" t="s">
        <v>108</v>
      </c>
      <c r="T31" s="9" t="s">
        <v>56</v>
      </c>
      <c r="U31" s="9" t="s">
        <v>41</v>
      </c>
      <c r="V31" s="10" t="s">
        <v>290</v>
      </c>
      <c r="W31" s="6"/>
      <c r="X31" s="11" t="s">
        <v>291</v>
      </c>
      <c r="Y31" s="6">
        <v>2</v>
      </c>
    </row>
    <row r="32" spans="1:25" x14ac:dyDescent="0.2">
      <c r="A32" s="6">
        <v>23</v>
      </c>
      <c r="B32" s="7" t="s">
        <v>292</v>
      </c>
      <c r="C32" s="7" t="s">
        <v>27</v>
      </c>
      <c r="D32" s="7" t="s">
        <v>293</v>
      </c>
      <c r="E32" s="7" t="s">
        <v>294</v>
      </c>
      <c r="F32" s="7" t="s">
        <v>295</v>
      </c>
      <c r="G32" s="7" t="s">
        <v>296</v>
      </c>
      <c r="H32" s="7" t="s">
        <v>297</v>
      </c>
      <c r="I32" s="8">
        <v>1023.12</v>
      </c>
      <c r="J32" s="8">
        <v>763.56</v>
      </c>
      <c r="K32" s="8">
        <v>851.76</v>
      </c>
      <c r="L32" s="7" t="s">
        <v>298</v>
      </c>
      <c r="M32" s="7" t="s">
        <v>34</v>
      </c>
      <c r="N32" s="7" t="s">
        <v>299</v>
      </c>
      <c r="O32" s="7" t="s">
        <v>300</v>
      </c>
      <c r="P32" s="7" t="s">
        <v>295</v>
      </c>
      <c r="Q32" s="7" t="s">
        <v>301</v>
      </c>
      <c r="R32" s="7" t="s">
        <v>302</v>
      </c>
      <c r="S32" s="7" t="s">
        <v>303</v>
      </c>
      <c r="T32" s="7" t="s">
        <v>40</v>
      </c>
      <c r="U32" s="9" t="s">
        <v>41</v>
      </c>
      <c r="V32" s="11" t="s">
        <v>304</v>
      </c>
      <c r="W32" s="6">
        <v>5</v>
      </c>
      <c r="X32" s="11" t="s">
        <v>305</v>
      </c>
      <c r="Y32" s="22" t="s">
        <v>306</v>
      </c>
    </row>
    <row r="33" spans="1:25" x14ac:dyDescent="0.2">
      <c r="A33" s="7"/>
      <c r="B33" s="7"/>
      <c r="C33" s="7"/>
      <c r="D33" s="7"/>
      <c r="E33" s="7"/>
      <c r="F33" s="7"/>
      <c r="G33" s="7"/>
      <c r="H33" s="7"/>
      <c r="I33" s="8"/>
      <c r="J33" s="8"/>
      <c r="K33" s="8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spans="1:25" x14ac:dyDescent="0.2">
      <c r="A34" s="7"/>
      <c r="B34" s="7"/>
      <c r="C34" s="7"/>
      <c r="D34" s="7"/>
      <c r="E34" s="7"/>
      <c r="F34" s="7"/>
      <c r="G34" s="7"/>
      <c r="H34" s="7"/>
      <c r="I34" s="23">
        <f>SUM(I11:I33)</f>
        <v>89376.84</v>
      </c>
      <c r="J34" s="23">
        <f>SUM(J11:J33)</f>
        <v>66702.419999999984</v>
      </c>
      <c r="K34" s="23">
        <f>SUM(K11:K33)</f>
        <v>74407.319999999992</v>
      </c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</sheetData>
  <pageMargins left="0.511811024" right="0.511811024" top="0.78740157499999996" bottom="0.78740157499999996" header="0.31496062000000002" footer="0.31496062000000002"/>
  <pageSetup paperSize="11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2D122-EF2A-4D88-957E-512501CE74D5}">
  <dimension ref="A3:AJ23"/>
  <sheetViews>
    <sheetView topLeftCell="U1" workbookViewId="0">
      <selection activeCell="K11" sqref="K11:K21"/>
    </sheetView>
  </sheetViews>
  <sheetFormatPr defaultRowHeight="12.75" x14ac:dyDescent="0.2"/>
  <cols>
    <col min="1" max="1" width="7.7109375" bestFit="1" customWidth="1"/>
    <col min="2" max="2" width="11.85546875" bestFit="1" customWidth="1"/>
    <col min="3" max="3" width="15" bestFit="1" customWidth="1"/>
    <col min="4" max="4" width="13.42578125" bestFit="1" customWidth="1"/>
    <col min="5" max="5" width="38.140625" bestFit="1" customWidth="1"/>
    <col min="6" max="6" width="13.85546875" bestFit="1" customWidth="1"/>
    <col min="7" max="7" width="40" bestFit="1" customWidth="1"/>
    <col min="8" max="8" width="23.140625" bestFit="1" customWidth="1"/>
    <col min="9" max="9" width="10.28515625" bestFit="1" customWidth="1"/>
    <col min="10" max="10" width="10.85546875" bestFit="1" customWidth="1"/>
    <col min="11" max="11" width="10.28515625" bestFit="1" customWidth="1"/>
    <col min="12" max="12" width="8.7109375" customWidth="1"/>
    <col min="13" max="13" width="28.42578125" bestFit="1" customWidth="1"/>
    <col min="14" max="14" width="12.42578125" bestFit="1" customWidth="1"/>
    <col min="15" max="15" width="14.42578125" bestFit="1" customWidth="1"/>
    <col min="16" max="16" width="29" bestFit="1" customWidth="1"/>
    <col min="17" max="17" width="30" bestFit="1" customWidth="1"/>
    <col min="18" max="18" width="38.42578125" bestFit="1" customWidth="1"/>
    <col min="19" max="19" width="9.5703125" bestFit="1" customWidth="1"/>
    <col min="20" max="20" width="12.7109375" bestFit="1" customWidth="1"/>
    <col min="21" max="21" width="26.140625" bestFit="1" customWidth="1"/>
    <col min="22" max="22" width="8.5703125" bestFit="1" customWidth="1"/>
    <col min="23" max="23" width="38.42578125" bestFit="1" customWidth="1"/>
    <col min="24" max="24" width="12" bestFit="1" customWidth="1"/>
    <col min="25" max="25" width="7.85546875" bestFit="1" customWidth="1"/>
    <col min="26" max="26" width="10.28515625" bestFit="1" customWidth="1"/>
    <col min="27" max="27" width="19" bestFit="1" customWidth="1"/>
    <col min="28" max="28" width="4" bestFit="1" customWidth="1"/>
    <col min="29" max="29" width="12" bestFit="1" customWidth="1"/>
    <col min="30" max="30" width="5" bestFit="1" customWidth="1"/>
    <col min="31" max="31" width="18.28515625" bestFit="1" customWidth="1"/>
    <col min="32" max="32" width="15.5703125" bestFit="1" customWidth="1"/>
    <col min="33" max="33" width="9.28515625" bestFit="1" customWidth="1"/>
    <col min="34" max="34" width="8.28515625" customWidth="1"/>
    <col min="35" max="35" width="10" bestFit="1" customWidth="1"/>
  </cols>
  <sheetData>
    <row r="3" spans="1:36" x14ac:dyDescent="0.2">
      <c r="L3" s="1" t="s">
        <v>0</v>
      </c>
    </row>
    <row r="4" spans="1:36" x14ac:dyDescent="0.2">
      <c r="L4" s="1" t="s">
        <v>1</v>
      </c>
    </row>
    <row r="5" spans="1:36" x14ac:dyDescent="0.2">
      <c r="L5" s="1" t="s">
        <v>487</v>
      </c>
    </row>
    <row r="10" spans="1:36" ht="25.5" x14ac:dyDescent="0.2">
      <c r="A10" s="2" t="s">
        <v>3</v>
      </c>
      <c r="B10" s="2" t="s">
        <v>4</v>
      </c>
      <c r="C10" s="2"/>
      <c r="D10" s="2" t="s">
        <v>485</v>
      </c>
      <c r="E10" s="4" t="s">
        <v>6</v>
      </c>
      <c r="F10" s="4" t="s">
        <v>7</v>
      </c>
      <c r="G10" s="4" t="s">
        <v>8</v>
      </c>
      <c r="H10" s="4" t="s">
        <v>9</v>
      </c>
      <c r="I10" s="5" t="s">
        <v>10</v>
      </c>
      <c r="J10" s="5" t="s">
        <v>486</v>
      </c>
      <c r="K10" s="5" t="s">
        <v>12</v>
      </c>
      <c r="L10" s="2" t="s">
        <v>14</v>
      </c>
      <c r="M10" s="2" t="s">
        <v>485</v>
      </c>
      <c r="N10" s="3" t="s">
        <v>484</v>
      </c>
      <c r="O10" s="2" t="s">
        <v>17</v>
      </c>
      <c r="P10" s="4" t="s">
        <v>483</v>
      </c>
      <c r="Q10" s="4" t="s">
        <v>482</v>
      </c>
      <c r="R10" s="4" t="s">
        <v>481</v>
      </c>
      <c r="S10" s="4" t="s">
        <v>480</v>
      </c>
      <c r="T10" s="2" t="s">
        <v>479</v>
      </c>
      <c r="U10" s="2" t="s">
        <v>15</v>
      </c>
      <c r="V10" s="2" t="s">
        <v>478</v>
      </c>
      <c r="W10" s="2" t="s">
        <v>477</v>
      </c>
      <c r="X10" s="2" t="s">
        <v>476</v>
      </c>
      <c r="Y10" s="2" t="s">
        <v>475</v>
      </c>
      <c r="Z10" s="2" t="s">
        <v>474</v>
      </c>
      <c r="AA10" s="5" t="s">
        <v>473</v>
      </c>
      <c r="AB10" s="2" t="s">
        <v>472</v>
      </c>
      <c r="AC10" s="2" t="s">
        <v>18</v>
      </c>
      <c r="AD10" s="2" t="s">
        <v>471</v>
      </c>
      <c r="AE10" s="2" t="s">
        <v>20</v>
      </c>
      <c r="AF10" s="2" t="s">
        <v>470</v>
      </c>
      <c r="AG10" s="2" t="s">
        <v>22</v>
      </c>
      <c r="AH10" s="3" t="s">
        <v>469</v>
      </c>
      <c r="AI10" s="2" t="s">
        <v>24</v>
      </c>
      <c r="AJ10" s="3" t="s">
        <v>25</v>
      </c>
    </row>
    <row r="11" spans="1:36" x14ac:dyDescent="0.2">
      <c r="A11" s="6">
        <v>1</v>
      </c>
      <c r="B11" s="7" t="s">
        <v>468</v>
      </c>
      <c r="C11" s="7" t="s">
        <v>331</v>
      </c>
      <c r="D11" s="7" t="s">
        <v>464</v>
      </c>
      <c r="E11" s="7" t="s">
        <v>463</v>
      </c>
      <c r="F11" s="7" t="s">
        <v>462</v>
      </c>
      <c r="G11" s="7" t="s">
        <v>461</v>
      </c>
      <c r="H11" s="7" t="s">
        <v>467</v>
      </c>
      <c r="I11" s="8">
        <v>292.32</v>
      </c>
      <c r="J11" s="8">
        <v>218.16</v>
      </c>
      <c r="K11" s="8">
        <v>243.36</v>
      </c>
      <c r="L11" s="7" t="s">
        <v>50</v>
      </c>
      <c r="M11" s="7" t="s">
        <v>460</v>
      </c>
      <c r="N11" s="7" t="s">
        <v>459</v>
      </c>
      <c r="O11" s="7" t="s">
        <v>458</v>
      </c>
      <c r="P11" s="7" t="s">
        <v>457</v>
      </c>
      <c r="Q11" s="7" t="s">
        <v>456</v>
      </c>
      <c r="R11" s="7" t="s">
        <v>455</v>
      </c>
      <c r="S11" s="7" t="s">
        <v>454</v>
      </c>
      <c r="T11" s="7" t="s">
        <v>453</v>
      </c>
      <c r="U11" s="7" t="s">
        <v>452</v>
      </c>
      <c r="V11" s="7" t="s">
        <v>311</v>
      </c>
      <c r="W11" s="7" t="s">
        <v>451</v>
      </c>
      <c r="X11" s="7" t="s">
        <v>450</v>
      </c>
      <c r="Y11" s="7" t="s">
        <v>313</v>
      </c>
      <c r="Z11" s="7" t="s">
        <v>449</v>
      </c>
      <c r="AA11" s="7" t="s">
        <v>448</v>
      </c>
      <c r="AB11" s="7" t="s">
        <v>311</v>
      </c>
      <c r="AC11" s="7" t="s">
        <v>447</v>
      </c>
      <c r="AD11" s="7" t="s">
        <v>426</v>
      </c>
      <c r="AE11" s="7" t="s">
        <v>40</v>
      </c>
      <c r="AF11" s="9" t="s">
        <v>41</v>
      </c>
      <c r="AG11" s="6">
        <v>2362</v>
      </c>
      <c r="AH11" s="6">
        <v>0</v>
      </c>
      <c r="AI11" s="24">
        <v>21166</v>
      </c>
      <c r="AJ11" s="6">
        <v>4</v>
      </c>
    </row>
    <row r="12" spans="1:36" x14ac:dyDescent="0.2">
      <c r="A12" s="6">
        <v>2</v>
      </c>
      <c r="B12" s="7" t="s">
        <v>466</v>
      </c>
      <c r="C12" s="7" t="s">
        <v>331</v>
      </c>
      <c r="D12" s="7" t="s">
        <v>464</v>
      </c>
      <c r="E12" s="7" t="s">
        <v>463</v>
      </c>
      <c r="F12" s="7" t="s">
        <v>462</v>
      </c>
      <c r="G12" s="7" t="s">
        <v>461</v>
      </c>
      <c r="H12" s="7" t="s">
        <v>348</v>
      </c>
      <c r="I12" s="8">
        <v>487.2</v>
      </c>
      <c r="J12" s="8">
        <v>363.6</v>
      </c>
      <c r="K12" s="8">
        <v>405.6</v>
      </c>
      <c r="L12" s="7" t="s">
        <v>50</v>
      </c>
      <c r="M12" s="7" t="s">
        <v>460</v>
      </c>
      <c r="N12" s="7" t="s">
        <v>459</v>
      </c>
      <c r="O12" s="7" t="s">
        <v>458</v>
      </c>
      <c r="P12" s="7" t="s">
        <v>457</v>
      </c>
      <c r="Q12" s="7" t="s">
        <v>456</v>
      </c>
      <c r="R12" s="7" t="s">
        <v>455</v>
      </c>
      <c r="S12" s="7" t="s">
        <v>454</v>
      </c>
      <c r="T12" s="7" t="s">
        <v>453</v>
      </c>
      <c r="U12" s="7" t="s">
        <v>452</v>
      </c>
      <c r="V12" s="7" t="s">
        <v>311</v>
      </c>
      <c r="W12" s="7" t="s">
        <v>451</v>
      </c>
      <c r="X12" s="7" t="s">
        <v>450</v>
      </c>
      <c r="Y12" s="7" t="s">
        <v>313</v>
      </c>
      <c r="Z12" s="7" t="s">
        <v>449</v>
      </c>
      <c r="AA12" s="7" t="s">
        <v>448</v>
      </c>
      <c r="AB12" s="7" t="s">
        <v>311</v>
      </c>
      <c r="AC12" s="7" t="s">
        <v>447</v>
      </c>
      <c r="AD12" s="7" t="s">
        <v>426</v>
      </c>
      <c r="AE12" s="7" t="s">
        <v>40</v>
      </c>
      <c r="AF12" s="9" t="s">
        <v>41</v>
      </c>
      <c r="AG12" s="6">
        <v>2362</v>
      </c>
      <c r="AH12" s="6">
        <v>0</v>
      </c>
      <c r="AI12" s="24">
        <v>21166</v>
      </c>
      <c r="AJ12" s="6">
        <v>4</v>
      </c>
    </row>
    <row r="13" spans="1:36" x14ac:dyDescent="0.2">
      <c r="A13" s="6">
        <v>3</v>
      </c>
      <c r="B13" s="7" t="s">
        <v>465</v>
      </c>
      <c r="C13" s="7" t="s">
        <v>331</v>
      </c>
      <c r="D13" s="7" t="s">
        <v>464</v>
      </c>
      <c r="E13" s="7" t="s">
        <v>463</v>
      </c>
      <c r="F13" s="7" t="s">
        <v>462</v>
      </c>
      <c r="G13" s="7" t="s">
        <v>461</v>
      </c>
      <c r="H13" s="7" t="s">
        <v>32</v>
      </c>
      <c r="I13" s="8">
        <v>73.08</v>
      </c>
      <c r="J13" s="8">
        <v>54.54</v>
      </c>
      <c r="K13" s="8">
        <v>60.84</v>
      </c>
      <c r="L13" s="7" t="s">
        <v>50</v>
      </c>
      <c r="M13" s="7" t="s">
        <v>460</v>
      </c>
      <c r="N13" s="7" t="s">
        <v>459</v>
      </c>
      <c r="O13" s="7" t="s">
        <v>458</v>
      </c>
      <c r="P13" s="7" t="s">
        <v>457</v>
      </c>
      <c r="Q13" s="7" t="s">
        <v>456</v>
      </c>
      <c r="R13" s="7" t="s">
        <v>455</v>
      </c>
      <c r="S13" s="7" t="s">
        <v>454</v>
      </c>
      <c r="T13" s="7" t="s">
        <v>453</v>
      </c>
      <c r="U13" s="7" t="s">
        <v>452</v>
      </c>
      <c r="V13" s="7" t="s">
        <v>311</v>
      </c>
      <c r="W13" s="7" t="s">
        <v>451</v>
      </c>
      <c r="X13" s="7" t="s">
        <v>450</v>
      </c>
      <c r="Y13" s="7" t="s">
        <v>313</v>
      </c>
      <c r="Z13" s="7" t="s">
        <v>449</v>
      </c>
      <c r="AA13" s="7" t="s">
        <v>448</v>
      </c>
      <c r="AB13" s="7" t="s">
        <v>311</v>
      </c>
      <c r="AC13" s="7" t="s">
        <v>447</v>
      </c>
      <c r="AD13" s="7" t="s">
        <v>426</v>
      </c>
      <c r="AE13" s="7" t="s">
        <v>40</v>
      </c>
      <c r="AF13" s="9" t="s">
        <v>41</v>
      </c>
      <c r="AG13" s="6">
        <v>2362</v>
      </c>
      <c r="AH13" s="6">
        <v>0</v>
      </c>
      <c r="AI13" s="24">
        <v>21166</v>
      </c>
      <c r="AJ13" s="6">
        <v>4</v>
      </c>
    </row>
    <row r="14" spans="1:36" x14ac:dyDescent="0.2">
      <c r="A14" s="6">
        <v>4</v>
      </c>
      <c r="B14" s="9" t="s">
        <v>446</v>
      </c>
      <c r="C14" s="7" t="s">
        <v>331</v>
      </c>
      <c r="D14" s="7" t="s">
        <v>443</v>
      </c>
      <c r="E14" s="7" t="s">
        <v>442</v>
      </c>
      <c r="F14" s="7" t="s">
        <v>441</v>
      </c>
      <c r="G14" s="7" t="s">
        <v>445</v>
      </c>
      <c r="H14" s="7" t="s">
        <v>348</v>
      </c>
      <c r="I14" s="8">
        <v>535.91999999999996</v>
      </c>
      <c r="J14" s="8">
        <v>399.96</v>
      </c>
      <c r="K14" s="8">
        <v>446.16</v>
      </c>
      <c r="L14" s="7" t="s">
        <v>50</v>
      </c>
      <c r="M14" s="7" t="s">
        <v>439</v>
      </c>
      <c r="N14" s="7" t="s">
        <v>346</v>
      </c>
      <c r="O14" s="9" t="s">
        <v>438</v>
      </c>
      <c r="P14" s="7" t="s">
        <v>437</v>
      </c>
      <c r="Q14" s="7" t="s">
        <v>436</v>
      </c>
      <c r="R14" s="7" t="s">
        <v>435</v>
      </c>
      <c r="S14" s="7" t="s">
        <v>434</v>
      </c>
      <c r="T14" s="7" t="s">
        <v>433</v>
      </c>
      <c r="U14" s="7" t="s">
        <v>432</v>
      </c>
      <c r="V14" s="7" t="s">
        <v>311</v>
      </c>
      <c r="W14" s="7" t="s">
        <v>431</v>
      </c>
      <c r="X14" s="7" t="s">
        <v>430</v>
      </c>
      <c r="Y14" s="7" t="s">
        <v>313</v>
      </c>
      <c r="Z14" s="7" t="s">
        <v>429</v>
      </c>
      <c r="AA14" s="7" t="s">
        <v>428</v>
      </c>
      <c r="AB14" s="7" t="s">
        <v>311</v>
      </c>
      <c r="AC14" s="7" t="s">
        <v>427</v>
      </c>
      <c r="AD14" s="7" t="s">
        <v>426</v>
      </c>
      <c r="AE14" s="9" t="s">
        <v>425</v>
      </c>
      <c r="AF14" s="9" t="s">
        <v>41</v>
      </c>
      <c r="AG14" s="6">
        <v>5793</v>
      </c>
      <c r="AH14" s="6">
        <v>2</v>
      </c>
      <c r="AI14" s="24">
        <v>350234</v>
      </c>
      <c r="AJ14" s="6">
        <v>1</v>
      </c>
    </row>
    <row r="15" spans="1:36" x14ac:dyDescent="0.2">
      <c r="A15" s="6">
        <v>5</v>
      </c>
      <c r="B15" s="7" t="s">
        <v>444</v>
      </c>
      <c r="C15" s="7" t="s">
        <v>331</v>
      </c>
      <c r="D15" s="7" t="s">
        <v>443</v>
      </c>
      <c r="E15" s="7" t="s">
        <v>442</v>
      </c>
      <c r="F15" s="7" t="s">
        <v>441</v>
      </c>
      <c r="G15" s="7" t="s">
        <v>440</v>
      </c>
      <c r="H15" s="7" t="s">
        <v>366</v>
      </c>
      <c r="I15" s="8">
        <v>219.24</v>
      </c>
      <c r="J15" s="8">
        <v>163.62</v>
      </c>
      <c r="K15" s="8">
        <v>182.52</v>
      </c>
      <c r="L15" s="7" t="s">
        <v>50</v>
      </c>
      <c r="M15" s="7" t="s">
        <v>439</v>
      </c>
      <c r="N15" s="7" t="s">
        <v>346</v>
      </c>
      <c r="O15" s="9" t="s">
        <v>438</v>
      </c>
      <c r="P15" s="7" t="s">
        <v>437</v>
      </c>
      <c r="Q15" s="7" t="s">
        <v>436</v>
      </c>
      <c r="R15" s="7" t="s">
        <v>435</v>
      </c>
      <c r="S15" s="7" t="s">
        <v>434</v>
      </c>
      <c r="T15" s="7" t="s">
        <v>433</v>
      </c>
      <c r="U15" s="7" t="s">
        <v>432</v>
      </c>
      <c r="V15" s="7" t="s">
        <v>311</v>
      </c>
      <c r="W15" s="7" t="s">
        <v>431</v>
      </c>
      <c r="X15" s="7" t="s">
        <v>430</v>
      </c>
      <c r="Y15" s="7" t="s">
        <v>313</v>
      </c>
      <c r="Z15" s="7" t="s">
        <v>429</v>
      </c>
      <c r="AA15" s="7" t="s">
        <v>428</v>
      </c>
      <c r="AB15" s="7" t="s">
        <v>311</v>
      </c>
      <c r="AC15" s="7" t="s">
        <v>427</v>
      </c>
      <c r="AD15" s="7" t="s">
        <v>426</v>
      </c>
      <c r="AE15" s="9" t="s">
        <v>425</v>
      </c>
      <c r="AF15" s="9" t="s">
        <v>41</v>
      </c>
      <c r="AG15" s="6" t="s">
        <v>424</v>
      </c>
      <c r="AH15" s="6">
        <v>2</v>
      </c>
      <c r="AI15" s="24">
        <v>350234</v>
      </c>
      <c r="AJ15" s="6">
        <v>1</v>
      </c>
    </row>
    <row r="16" spans="1:36" x14ac:dyDescent="0.2">
      <c r="A16" s="6">
        <v>6</v>
      </c>
      <c r="B16" s="24" t="s">
        <v>423</v>
      </c>
      <c r="C16" s="7" t="s">
        <v>331</v>
      </c>
      <c r="D16" s="7" t="s">
        <v>422</v>
      </c>
      <c r="E16" s="7" t="s">
        <v>421</v>
      </c>
      <c r="F16" s="7" t="s">
        <v>420</v>
      </c>
      <c r="G16" s="7" t="s">
        <v>419</v>
      </c>
      <c r="H16" s="7" t="s">
        <v>348</v>
      </c>
      <c r="I16" s="8">
        <v>414.12</v>
      </c>
      <c r="J16" s="8">
        <v>309.06</v>
      </c>
      <c r="K16" s="8">
        <v>344.76</v>
      </c>
      <c r="L16" s="7" t="s">
        <v>34</v>
      </c>
      <c r="M16" s="7" t="s">
        <v>418</v>
      </c>
      <c r="N16" s="7" t="s">
        <v>417</v>
      </c>
      <c r="O16" s="7" t="s">
        <v>416</v>
      </c>
      <c r="P16" s="7" t="s">
        <v>415</v>
      </c>
      <c r="Q16" s="7" t="s">
        <v>414</v>
      </c>
      <c r="R16" s="7" t="s">
        <v>413</v>
      </c>
      <c r="S16" s="7" t="s">
        <v>412</v>
      </c>
      <c r="T16" s="7" t="s">
        <v>411</v>
      </c>
      <c r="U16" s="7" t="s">
        <v>407</v>
      </c>
      <c r="V16" s="7" t="s">
        <v>311</v>
      </c>
      <c r="W16" s="7" t="s">
        <v>410</v>
      </c>
      <c r="X16" s="7" t="s">
        <v>409</v>
      </c>
      <c r="Y16" s="7" t="s">
        <v>313</v>
      </c>
      <c r="Z16" s="7" t="s">
        <v>408</v>
      </c>
      <c r="AA16" s="7" t="s">
        <v>407</v>
      </c>
      <c r="AB16" s="7" t="s">
        <v>311</v>
      </c>
      <c r="AC16" s="7" t="s">
        <v>406</v>
      </c>
      <c r="AD16" s="7" t="s">
        <v>405</v>
      </c>
      <c r="AE16" s="9" t="s">
        <v>56</v>
      </c>
      <c r="AF16" s="9" t="s">
        <v>57</v>
      </c>
      <c r="AG16" s="6" t="s">
        <v>95</v>
      </c>
      <c r="AH16" s="7"/>
      <c r="AI16" s="24">
        <v>960210394</v>
      </c>
      <c r="AJ16" s="6">
        <v>4</v>
      </c>
    </row>
    <row r="17" spans="1:36" x14ac:dyDescent="0.2">
      <c r="A17" s="6">
        <v>7</v>
      </c>
      <c r="B17" s="24" t="s">
        <v>404</v>
      </c>
      <c r="C17" s="7" t="s">
        <v>331</v>
      </c>
      <c r="D17" s="27">
        <v>29113</v>
      </c>
      <c r="E17" s="7" t="s">
        <v>403</v>
      </c>
      <c r="F17" s="7" t="s">
        <v>402</v>
      </c>
      <c r="G17" s="7" t="s">
        <v>401</v>
      </c>
      <c r="H17" s="7" t="s">
        <v>348</v>
      </c>
      <c r="I17" s="8">
        <v>316.68</v>
      </c>
      <c r="J17" s="8">
        <v>236.34</v>
      </c>
      <c r="K17" s="8">
        <v>263.64</v>
      </c>
      <c r="L17" s="7" t="s">
        <v>34</v>
      </c>
      <c r="M17" s="7" t="s">
        <v>391</v>
      </c>
      <c r="N17" s="7" t="s">
        <v>324</v>
      </c>
      <c r="O17" s="7" t="s">
        <v>400</v>
      </c>
      <c r="P17" s="7" t="s">
        <v>399</v>
      </c>
      <c r="Q17" s="7" t="s">
        <v>398</v>
      </c>
      <c r="R17" s="7" t="s">
        <v>397</v>
      </c>
      <c r="S17" s="7" t="s">
        <v>396</v>
      </c>
      <c r="T17" s="7" t="s">
        <v>318</v>
      </c>
      <c r="U17" s="7" t="s">
        <v>395</v>
      </c>
      <c r="V17" s="7" t="s">
        <v>311</v>
      </c>
      <c r="W17" s="7" t="s">
        <v>394</v>
      </c>
      <c r="X17" s="7" t="s">
        <v>393</v>
      </c>
      <c r="Y17" s="7" t="s">
        <v>313</v>
      </c>
      <c r="Z17" s="7" t="s">
        <v>392</v>
      </c>
      <c r="AA17" s="7" t="s">
        <v>391</v>
      </c>
      <c r="AB17" s="7" t="s">
        <v>311</v>
      </c>
      <c r="AC17" s="7" t="s">
        <v>390</v>
      </c>
      <c r="AD17" s="7" t="s">
        <v>389</v>
      </c>
      <c r="AE17" s="9" t="s">
        <v>40</v>
      </c>
      <c r="AF17" s="9" t="s">
        <v>41</v>
      </c>
      <c r="AG17" s="6">
        <v>1758</v>
      </c>
      <c r="AH17" s="6">
        <v>2</v>
      </c>
      <c r="AI17" s="24">
        <v>24449</v>
      </c>
      <c r="AJ17" s="22" t="s">
        <v>306</v>
      </c>
    </row>
    <row r="18" spans="1:36" x14ac:dyDescent="0.2">
      <c r="A18" s="6">
        <v>8</v>
      </c>
      <c r="B18" s="26" t="s">
        <v>388</v>
      </c>
      <c r="C18" s="7" t="s">
        <v>331</v>
      </c>
      <c r="D18" s="7" t="s">
        <v>387</v>
      </c>
      <c r="E18" s="7" t="s">
        <v>386</v>
      </c>
      <c r="F18" s="7" t="s">
        <v>385</v>
      </c>
      <c r="G18" s="7" t="s">
        <v>384</v>
      </c>
      <c r="H18" s="7" t="s">
        <v>348</v>
      </c>
      <c r="I18" s="8">
        <v>609</v>
      </c>
      <c r="J18" s="8">
        <v>454.5</v>
      </c>
      <c r="K18" s="8">
        <v>507</v>
      </c>
      <c r="L18" s="7" t="s">
        <v>34</v>
      </c>
      <c r="M18" s="7" t="s">
        <v>383</v>
      </c>
      <c r="N18" s="7" t="s">
        <v>324</v>
      </c>
      <c r="O18" s="7" t="s">
        <v>382</v>
      </c>
      <c r="P18" s="7" t="s">
        <v>381</v>
      </c>
      <c r="Q18" s="7" t="s">
        <v>380</v>
      </c>
      <c r="R18" s="7" t="s">
        <v>379</v>
      </c>
      <c r="S18" s="7" t="s">
        <v>378</v>
      </c>
      <c r="T18" s="7" t="s">
        <v>340</v>
      </c>
      <c r="U18" s="7" t="s">
        <v>377</v>
      </c>
      <c r="V18" s="7" t="s">
        <v>311</v>
      </c>
      <c r="W18" s="7" t="s">
        <v>376</v>
      </c>
      <c r="X18" s="7" t="s">
        <v>375</v>
      </c>
      <c r="Y18" s="7" t="s">
        <v>313</v>
      </c>
      <c r="Z18" s="7" t="s">
        <v>374</v>
      </c>
      <c r="AA18" s="7" t="s">
        <v>81</v>
      </c>
      <c r="AB18" s="7" t="s">
        <v>311</v>
      </c>
      <c r="AC18" s="7" t="s">
        <v>373</v>
      </c>
      <c r="AD18" s="7" t="s">
        <v>309</v>
      </c>
      <c r="AE18" s="7" t="s">
        <v>40</v>
      </c>
      <c r="AF18" s="9" t="s">
        <v>41</v>
      </c>
      <c r="AG18" s="25" t="s">
        <v>372</v>
      </c>
      <c r="AH18" s="6">
        <v>6</v>
      </c>
      <c r="AI18" s="24">
        <v>225206</v>
      </c>
      <c r="AJ18" s="6">
        <v>6</v>
      </c>
    </row>
    <row r="19" spans="1:36" x14ac:dyDescent="0.2">
      <c r="A19" s="6">
        <v>9</v>
      </c>
      <c r="B19" s="7" t="s">
        <v>371</v>
      </c>
      <c r="C19" s="7" t="s">
        <v>331</v>
      </c>
      <c r="D19" s="7" t="s">
        <v>370</v>
      </c>
      <c r="E19" s="7" t="s">
        <v>369</v>
      </c>
      <c r="F19" s="7" t="s">
        <v>368</v>
      </c>
      <c r="G19" s="7" t="s">
        <v>367</v>
      </c>
      <c r="H19" s="7" t="s">
        <v>366</v>
      </c>
      <c r="I19" s="8">
        <v>243.6</v>
      </c>
      <c r="J19" s="8">
        <v>181.8</v>
      </c>
      <c r="K19" s="8">
        <v>202.8</v>
      </c>
      <c r="L19" s="7" t="s">
        <v>34</v>
      </c>
      <c r="M19" s="7" t="s">
        <v>365</v>
      </c>
      <c r="N19" s="7" t="s">
        <v>324</v>
      </c>
      <c r="O19" s="7" t="s">
        <v>364</v>
      </c>
      <c r="P19" s="7" t="s">
        <v>363</v>
      </c>
      <c r="Q19" s="7" t="s">
        <v>362</v>
      </c>
      <c r="R19" s="7" t="s">
        <v>361</v>
      </c>
      <c r="S19" s="7" t="s">
        <v>360</v>
      </c>
      <c r="T19" s="7" t="s">
        <v>318</v>
      </c>
      <c r="U19" s="7" t="s">
        <v>359</v>
      </c>
      <c r="V19" s="7" t="s">
        <v>311</v>
      </c>
      <c r="W19" s="7" t="s">
        <v>358</v>
      </c>
      <c r="X19" s="7" t="s">
        <v>357</v>
      </c>
      <c r="Y19" s="7" t="s">
        <v>313</v>
      </c>
      <c r="Z19" s="7" t="s">
        <v>356</v>
      </c>
      <c r="AA19" s="7" t="s">
        <v>355</v>
      </c>
      <c r="AB19" s="7" t="s">
        <v>311</v>
      </c>
      <c r="AC19" s="7" t="s">
        <v>354</v>
      </c>
      <c r="AD19" s="7" t="s">
        <v>192</v>
      </c>
      <c r="AE19" s="9" t="s">
        <v>40</v>
      </c>
      <c r="AF19" s="9" t="s">
        <v>41</v>
      </c>
      <c r="AG19" s="6">
        <v>2203</v>
      </c>
      <c r="AH19" s="6">
        <v>9</v>
      </c>
      <c r="AI19" s="24">
        <v>11817</v>
      </c>
      <c r="AJ19" s="6">
        <v>6</v>
      </c>
    </row>
    <row r="20" spans="1:36" x14ac:dyDescent="0.2">
      <c r="A20" s="6">
        <v>10</v>
      </c>
      <c r="B20" s="7" t="s">
        <v>353</v>
      </c>
      <c r="C20" s="7" t="s">
        <v>331</v>
      </c>
      <c r="D20" s="7" t="s">
        <v>352</v>
      </c>
      <c r="E20" s="9" t="s">
        <v>351</v>
      </c>
      <c r="F20" s="7" t="s">
        <v>350</v>
      </c>
      <c r="G20" s="7" t="s">
        <v>349</v>
      </c>
      <c r="H20" s="7" t="s">
        <v>348</v>
      </c>
      <c r="I20" s="8">
        <v>1339.8</v>
      </c>
      <c r="J20" s="8">
        <v>999.9</v>
      </c>
      <c r="K20" s="8">
        <v>1115.4000000000001</v>
      </c>
      <c r="L20" s="7" t="s">
        <v>50</v>
      </c>
      <c r="M20" s="9" t="s">
        <v>347</v>
      </c>
      <c r="N20" s="7" t="s">
        <v>346</v>
      </c>
      <c r="O20" s="7" t="s">
        <v>345</v>
      </c>
      <c r="P20" s="7" t="s">
        <v>344</v>
      </c>
      <c r="Q20" s="7" t="s">
        <v>343</v>
      </c>
      <c r="R20" s="7" t="s">
        <v>342</v>
      </c>
      <c r="S20" s="7" t="s">
        <v>341</v>
      </c>
      <c r="T20" s="7" t="s">
        <v>340</v>
      </c>
      <c r="U20" s="7" t="s">
        <v>339</v>
      </c>
      <c r="V20" s="7" t="s">
        <v>311</v>
      </c>
      <c r="W20" s="7" t="s">
        <v>338</v>
      </c>
      <c r="X20" s="7" t="s">
        <v>337</v>
      </c>
      <c r="Y20" s="7" t="s">
        <v>313</v>
      </c>
      <c r="Z20" s="7" t="s">
        <v>336</v>
      </c>
      <c r="AA20" s="7" t="s">
        <v>335</v>
      </c>
      <c r="AB20" s="7" t="s">
        <v>311</v>
      </c>
      <c r="AC20" s="7" t="s">
        <v>334</v>
      </c>
      <c r="AD20" s="7" t="s">
        <v>333</v>
      </c>
      <c r="AE20" s="9" t="s">
        <v>40</v>
      </c>
      <c r="AF20" s="9" t="s">
        <v>41</v>
      </c>
      <c r="AG20" s="25" t="s">
        <v>304</v>
      </c>
      <c r="AH20" s="6">
        <v>5</v>
      </c>
      <c r="AI20" s="24">
        <v>9085</v>
      </c>
      <c r="AJ20" s="6">
        <v>9</v>
      </c>
    </row>
    <row r="21" spans="1:36" x14ac:dyDescent="0.2">
      <c r="A21" s="6">
        <v>11</v>
      </c>
      <c r="B21" s="7" t="s">
        <v>332</v>
      </c>
      <c r="C21" s="7" t="s">
        <v>331</v>
      </c>
      <c r="D21" s="7" t="s">
        <v>330</v>
      </c>
      <c r="E21" s="7" t="s">
        <v>329</v>
      </c>
      <c r="F21" s="7" t="s">
        <v>328</v>
      </c>
      <c r="G21" s="7" t="s">
        <v>327</v>
      </c>
      <c r="H21" s="7" t="s">
        <v>326</v>
      </c>
      <c r="I21" s="8">
        <v>365.4</v>
      </c>
      <c r="J21" s="8">
        <v>272.7</v>
      </c>
      <c r="K21" s="8">
        <v>304.2</v>
      </c>
      <c r="L21" s="7" t="s">
        <v>34</v>
      </c>
      <c r="M21" s="7" t="s">
        <v>325</v>
      </c>
      <c r="N21" s="7" t="s">
        <v>324</v>
      </c>
      <c r="O21" s="7" t="s">
        <v>323</v>
      </c>
      <c r="P21" s="7" t="s">
        <v>322</v>
      </c>
      <c r="Q21" s="7" t="s">
        <v>321</v>
      </c>
      <c r="R21" s="7" t="s">
        <v>320</v>
      </c>
      <c r="S21" s="7" t="s">
        <v>319</v>
      </c>
      <c r="T21" s="7" t="s">
        <v>318</v>
      </c>
      <c r="U21" s="7" t="s">
        <v>317</v>
      </c>
      <c r="V21" s="7" t="s">
        <v>316</v>
      </c>
      <c r="W21" s="7" t="s">
        <v>315</v>
      </c>
      <c r="X21" s="7" t="s">
        <v>314</v>
      </c>
      <c r="Y21" s="7" t="s">
        <v>313</v>
      </c>
      <c r="Z21" s="7" t="s">
        <v>312</v>
      </c>
      <c r="AA21" s="7" t="s">
        <v>202</v>
      </c>
      <c r="AB21" s="7" t="s">
        <v>311</v>
      </c>
      <c r="AC21" s="7" t="s">
        <v>310</v>
      </c>
      <c r="AD21" s="7" t="s">
        <v>309</v>
      </c>
      <c r="AE21" s="9" t="s">
        <v>308</v>
      </c>
      <c r="AF21" s="9" t="s">
        <v>41</v>
      </c>
      <c r="AG21" s="25" t="s">
        <v>307</v>
      </c>
      <c r="AH21" s="7"/>
      <c r="AI21" s="24">
        <v>631346</v>
      </c>
      <c r="AJ21" s="6">
        <v>9</v>
      </c>
    </row>
    <row r="22" spans="1:36" x14ac:dyDescent="0.2">
      <c r="A22" s="7"/>
      <c r="B22" s="7"/>
      <c r="C22" s="7"/>
      <c r="D22" s="7"/>
      <c r="E22" s="7"/>
      <c r="F22" s="7"/>
      <c r="G22" s="7"/>
      <c r="H22" s="7"/>
      <c r="I22" s="8"/>
      <c r="J22" s="8"/>
      <c r="K22" s="8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</row>
    <row r="23" spans="1:36" x14ac:dyDescent="0.2">
      <c r="A23" s="7"/>
      <c r="B23" s="7"/>
      <c r="C23" s="7"/>
      <c r="D23" s="7"/>
      <c r="E23" s="7"/>
      <c r="F23" s="7"/>
      <c r="G23" s="7"/>
      <c r="H23" s="7"/>
      <c r="I23" s="23">
        <f>SUM(I11:I22)</f>
        <v>4896.3599999999997</v>
      </c>
      <c r="J23" s="23">
        <f>SUM(J11:J22)</f>
        <v>3654.18</v>
      </c>
      <c r="K23" s="23">
        <f>SUM(K11:K22)</f>
        <v>4076.28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</row>
  </sheetData>
  <pageMargins left="0.511811024" right="0.511811024" top="0.78740157499999996" bottom="0.78740157499999996" header="0.31496062000000002" footer="0.31496062000000002"/>
  <pageSetup paperSize="11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F3A4F-9D72-48A2-99F7-DFE3576D5A2A}">
  <dimension ref="A1:H95"/>
  <sheetViews>
    <sheetView workbookViewId="0">
      <selection activeCell="H7" sqref="H7"/>
    </sheetView>
  </sheetViews>
  <sheetFormatPr defaultRowHeight="15" x14ac:dyDescent="0.25"/>
  <cols>
    <col min="1" max="1" width="21.85546875" style="41" bestFit="1" customWidth="1"/>
    <col min="2" max="2" width="8" style="41" bestFit="1" customWidth="1"/>
    <col min="3" max="3" width="1.85546875" style="41" bestFit="1" customWidth="1"/>
    <col min="4" max="7" width="9.140625" style="41"/>
    <col min="8" max="8" width="32" style="41" bestFit="1" customWidth="1"/>
    <col min="9" max="16384" width="9.140625" style="41"/>
  </cols>
  <sheetData>
    <row r="1" spans="1:8" x14ac:dyDescent="0.25">
      <c r="A1" s="41" t="s">
        <v>582</v>
      </c>
      <c r="H1" s="29" t="s">
        <v>20</v>
      </c>
    </row>
    <row r="2" spans="1:8" x14ac:dyDescent="0.25">
      <c r="A2" s="41" t="s">
        <v>583</v>
      </c>
      <c r="H2" s="35" t="s">
        <v>535</v>
      </c>
    </row>
    <row r="3" spans="1:8" x14ac:dyDescent="0.25">
      <c r="A3" s="41" t="s">
        <v>584</v>
      </c>
      <c r="H3" s="42" t="s">
        <v>585</v>
      </c>
    </row>
    <row r="4" spans="1:8" x14ac:dyDescent="0.25">
      <c r="A4" s="41" t="s">
        <v>586</v>
      </c>
      <c r="B4" s="41">
        <v>1001782</v>
      </c>
      <c r="C4" s="41" t="s">
        <v>587</v>
      </c>
      <c r="H4" s="42" t="s">
        <v>588</v>
      </c>
    </row>
    <row r="5" spans="1:8" x14ac:dyDescent="0.25">
      <c r="A5" s="41" t="s">
        <v>589</v>
      </c>
      <c r="B5" s="41">
        <v>606</v>
      </c>
      <c r="C5" s="41" t="s">
        <v>587</v>
      </c>
      <c r="H5" s="42" t="s">
        <v>590</v>
      </c>
    </row>
    <row r="6" spans="1:8" x14ac:dyDescent="0.25">
      <c r="A6" s="41" t="s">
        <v>467</v>
      </c>
      <c r="B6" s="41">
        <v>12</v>
      </c>
      <c r="C6" s="41" t="s">
        <v>587</v>
      </c>
      <c r="H6" s="43" t="s">
        <v>591</v>
      </c>
    </row>
    <row r="7" spans="1:8" x14ac:dyDescent="0.25">
      <c r="A7" s="41" t="s">
        <v>467</v>
      </c>
      <c r="B7" s="41">
        <v>1001512</v>
      </c>
      <c r="C7" s="41" t="s">
        <v>587</v>
      </c>
      <c r="H7" s="44" t="s">
        <v>660</v>
      </c>
    </row>
    <row r="8" spans="1:8" x14ac:dyDescent="0.25">
      <c r="A8" s="41" t="s">
        <v>592</v>
      </c>
      <c r="B8" s="41">
        <v>1001799</v>
      </c>
      <c r="C8" s="41" t="s">
        <v>587</v>
      </c>
      <c r="H8" s="45"/>
    </row>
    <row r="9" spans="1:8" x14ac:dyDescent="0.25">
      <c r="A9" s="41" t="s">
        <v>65</v>
      </c>
      <c r="B9" s="41">
        <v>70</v>
      </c>
      <c r="C9" s="41" t="s">
        <v>587</v>
      </c>
      <c r="H9" s="45"/>
    </row>
    <row r="10" spans="1:8" x14ac:dyDescent="0.25">
      <c r="A10" s="41" t="s">
        <v>593</v>
      </c>
      <c r="B10" s="41">
        <v>354</v>
      </c>
      <c r="C10" s="41" t="s">
        <v>587</v>
      </c>
      <c r="H10" s="45"/>
    </row>
    <row r="11" spans="1:8" x14ac:dyDescent="0.25">
      <c r="A11" s="41" t="s">
        <v>594</v>
      </c>
      <c r="B11" s="41">
        <v>318</v>
      </c>
      <c r="C11" s="41" t="s">
        <v>587</v>
      </c>
      <c r="H11" s="45"/>
    </row>
    <row r="12" spans="1:8" x14ac:dyDescent="0.25">
      <c r="A12" s="41" t="s">
        <v>212</v>
      </c>
      <c r="B12" s="41">
        <v>7622</v>
      </c>
      <c r="C12" s="41" t="s">
        <v>587</v>
      </c>
      <c r="H12" s="45"/>
    </row>
    <row r="13" spans="1:8" x14ac:dyDescent="0.25">
      <c r="A13" s="41" t="s">
        <v>595</v>
      </c>
      <c r="B13" s="41">
        <v>6643</v>
      </c>
      <c r="C13" s="41" t="s">
        <v>587</v>
      </c>
      <c r="H13" s="45"/>
    </row>
    <row r="14" spans="1:8" x14ac:dyDescent="0.25">
      <c r="A14" s="41" t="s">
        <v>596</v>
      </c>
      <c r="B14" s="41">
        <v>3818</v>
      </c>
      <c r="C14" s="41" t="s">
        <v>587</v>
      </c>
      <c r="H14" s="45"/>
    </row>
    <row r="15" spans="1:8" x14ac:dyDescent="0.25">
      <c r="A15" s="41" t="s">
        <v>597</v>
      </c>
      <c r="B15" s="41">
        <v>9374</v>
      </c>
      <c r="C15" s="41" t="s">
        <v>587</v>
      </c>
      <c r="H15" s="45"/>
    </row>
    <row r="16" spans="1:8" x14ac:dyDescent="0.25">
      <c r="A16" s="41" t="s">
        <v>598</v>
      </c>
      <c r="B16" s="41">
        <v>102</v>
      </c>
      <c r="C16" s="41" t="s">
        <v>587</v>
      </c>
      <c r="H16" s="45"/>
    </row>
    <row r="17" spans="1:8" x14ac:dyDescent="0.25">
      <c r="A17" s="41" t="s">
        <v>134</v>
      </c>
      <c r="B17" s="41">
        <v>474</v>
      </c>
      <c r="C17" s="41" t="s">
        <v>587</v>
      </c>
      <c r="H17" s="45"/>
    </row>
    <row r="18" spans="1:8" x14ac:dyDescent="0.25">
      <c r="A18" s="41" t="s">
        <v>599</v>
      </c>
      <c r="B18" s="41">
        <v>438</v>
      </c>
      <c r="C18" s="41" t="s">
        <v>587</v>
      </c>
      <c r="H18" s="45"/>
    </row>
    <row r="19" spans="1:8" x14ac:dyDescent="0.25">
      <c r="A19" s="41" t="s">
        <v>147</v>
      </c>
      <c r="B19" s="41">
        <v>6679</v>
      </c>
      <c r="C19" s="41" t="s">
        <v>587</v>
      </c>
      <c r="H19" s="45"/>
    </row>
    <row r="20" spans="1:8" x14ac:dyDescent="0.25">
      <c r="A20" s="41" t="s">
        <v>600</v>
      </c>
      <c r="B20" s="41">
        <v>7414</v>
      </c>
      <c r="C20" s="41" t="s">
        <v>587</v>
      </c>
      <c r="H20" s="45"/>
    </row>
    <row r="21" spans="1:8" x14ac:dyDescent="0.25">
      <c r="A21" s="41" t="s">
        <v>601</v>
      </c>
      <c r="B21" s="41">
        <v>9352</v>
      </c>
      <c r="C21" s="41" t="s">
        <v>587</v>
      </c>
      <c r="H21" s="45"/>
    </row>
    <row r="22" spans="1:8" x14ac:dyDescent="0.25">
      <c r="A22" s="41" t="s">
        <v>102</v>
      </c>
      <c r="B22" s="41">
        <v>9331</v>
      </c>
      <c r="C22" s="41" t="s">
        <v>587</v>
      </c>
      <c r="H22" s="45"/>
    </row>
    <row r="23" spans="1:8" x14ac:dyDescent="0.25">
      <c r="A23" s="41" t="s">
        <v>48</v>
      </c>
      <c r="B23" s="41">
        <v>2013</v>
      </c>
      <c r="C23" s="41" t="s">
        <v>587</v>
      </c>
      <c r="H23" s="45"/>
    </row>
    <row r="24" spans="1:8" x14ac:dyDescent="0.25">
      <c r="A24" s="41" t="s">
        <v>602</v>
      </c>
      <c r="B24" s="41">
        <v>1001288</v>
      </c>
      <c r="C24" s="41" t="s">
        <v>587</v>
      </c>
      <c r="H24" s="45"/>
    </row>
    <row r="25" spans="1:8" x14ac:dyDescent="0.25">
      <c r="A25" s="41" t="s">
        <v>603</v>
      </c>
      <c r="B25" s="41">
        <v>9271</v>
      </c>
      <c r="C25" s="41" t="s">
        <v>587</v>
      </c>
      <c r="H25" s="45"/>
    </row>
    <row r="26" spans="1:8" x14ac:dyDescent="0.25">
      <c r="A26" s="41" t="s">
        <v>604</v>
      </c>
      <c r="B26" s="41">
        <v>4702</v>
      </c>
      <c r="C26" s="41" t="s">
        <v>587</v>
      </c>
      <c r="H26" s="45"/>
    </row>
    <row r="27" spans="1:8" x14ac:dyDescent="0.25">
      <c r="A27" s="41" t="s">
        <v>326</v>
      </c>
      <c r="B27" s="41">
        <v>14</v>
      </c>
      <c r="C27" s="41" t="s">
        <v>587</v>
      </c>
      <c r="H27" s="45"/>
    </row>
    <row r="28" spans="1:8" x14ac:dyDescent="0.25">
      <c r="A28" s="41" t="s">
        <v>326</v>
      </c>
      <c r="B28" s="41">
        <v>1000970</v>
      </c>
      <c r="C28" s="41" t="s">
        <v>587</v>
      </c>
      <c r="H28" s="45"/>
    </row>
    <row r="29" spans="1:8" x14ac:dyDescent="0.25">
      <c r="A29" s="41" t="s">
        <v>605</v>
      </c>
      <c r="B29" s="41">
        <v>10</v>
      </c>
      <c r="C29" s="41" t="s">
        <v>587</v>
      </c>
      <c r="H29" s="45"/>
    </row>
    <row r="30" spans="1:8" x14ac:dyDescent="0.25">
      <c r="A30" s="41" t="s">
        <v>606</v>
      </c>
      <c r="B30" s="41">
        <v>7</v>
      </c>
      <c r="C30" s="41" t="s">
        <v>587</v>
      </c>
      <c r="H30" s="45"/>
    </row>
    <row r="31" spans="1:8" x14ac:dyDescent="0.25">
      <c r="A31" s="41" t="s">
        <v>174</v>
      </c>
      <c r="B31" s="41">
        <v>769</v>
      </c>
      <c r="C31" s="41" t="s">
        <v>587</v>
      </c>
      <c r="H31" s="45"/>
    </row>
    <row r="32" spans="1:8" x14ac:dyDescent="0.25">
      <c r="A32" s="41" t="s">
        <v>261</v>
      </c>
      <c r="B32" s="41">
        <v>882</v>
      </c>
      <c r="C32" s="41" t="s">
        <v>587</v>
      </c>
      <c r="H32" s="45"/>
    </row>
    <row r="33" spans="1:8" x14ac:dyDescent="0.25">
      <c r="A33" s="41" t="s">
        <v>607</v>
      </c>
      <c r="B33" s="41">
        <v>4297</v>
      </c>
      <c r="C33" s="41" t="s">
        <v>587</v>
      </c>
      <c r="H33" s="45"/>
    </row>
    <row r="34" spans="1:8" x14ac:dyDescent="0.25">
      <c r="A34" s="41" t="s">
        <v>608</v>
      </c>
      <c r="B34" s="41">
        <v>1068</v>
      </c>
      <c r="C34" s="41" t="s">
        <v>587</v>
      </c>
      <c r="H34" s="45"/>
    </row>
    <row r="35" spans="1:8" x14ac:dyDescent="0.25">
      <c r="A35" s="41" t="s">
        <v>609</v>
      </c>
      <c r="B35" s="41">
        <v>361</v>
      </c>
      <c r="C35" s="41" t="s">
        <v>587</v>
      </c>
      <c r="H35" s="45"/>
    </row>
    <row r="36" spans="1:8" x14ac:dyDescent="0.25">
      <c r="A36" s="41" t="s">
        <v>610</v>
      </c>
      <c r="B36" s="41">
        <v>153</v>
      </c>
      <c r="C36" s="41" t="s">
        <v>587</v>
      </c>
      <c r="H36" s="45"/>
    </row>
    <row r="37" spans="1:8" x14ac:dyDescent="0.25">
      <c r="A37" s="41" t="s">
        <v>611</v>
      </c>
      <c r="B37" s="41">
        <v>74</v>
      </c>
      <c r="C37" s="41" t="s">
        <v>587</v>
      </c>
      <c r="H37" s="45"/>
    </row>
    <row r="38" spans="1:8" x14ac:dyDescent="0.25">
      <c r="A38" s="41" t="s">
        <v>612</v>
      </c>
      <c r="B38" s="41">
        <v>1561</v>
      </c>
      <c r="C38" s="41" t="s">
        <v>587</v>
      </c>
      <c r="H38" s="45"/>
    </row>
    <row r="39" spans="1:8" x14ac:dyDescent="0.25">
      <c r="A39" s="41" t="s">
        <v>613</v>
      </c>
      <c r="B39" s="41">
        <v>900</v>
      </c>
      <c r="C39" s="41" t="s">
        <v>587</v>
      </c>
      <c r="H39" s="45"/>
    </row>
    <row r="40" spans="1:8" x14ac:dyDescent="0.25">
      <c r="A40" s="41" t="s">
        <v>614</v>
      </c>
      <c r="B40" s="41">
        <v>406</v>
      </c>
      <c r="C40" s="41" t="s">
        <v>587</v>
      </c>
      <c r="H40" s="45"/>
    </row>
    <row r="41" spans="1:8" x14ac:dyDescent="0.25">
      <c r="A41" s="41" t="s">
        <v>615</v>
      </c>
      <c r="B41" s="41">
        <v>2346</v>
      </c>
      <c r="C41" s="41" t="s">
        <v>587</v>
      </c>
      <c r="H41" s="45"/>
    </row>
    <row r="42" spans="1:8" x14ac:dyDescent="0.25">
      <c r="A42" s="41" t="s">
        <v>616</v>
      </c>
      <c r="B42" s="41">
        <v>8017</v>
      </c>
      <c r="C42" s="41" t="s">
        <v>587</v>
      </c>
      <c r="H42" s="45"/>
    </row>
    <row r="43" spans="1:8" x14ac:dyDescent="0.25">
      <c r="A43" s="41" t="s">
        <v>617</v>
      </c>
      <c r="B43" s="41">
        <v>1001200</v>
      </c>
      <c r="C43" s="41" t="s">
        <v>587</v>
      </c>
      <c r="H43" s="45"/>
    </row>
    <row r="44" spans="1:8" x14ac:dyDescent="0.25">
      <c r="A44" s="41" t="s">
        <v>618</v>
      </c>
      <c r="B44" s="41">
        <v>9276</v>
      </c>
      <c r="C44" s="41" t="s">
        <v>587</v>
      </c>
      <c r="H44" s="45"/>
    </row>
    <row r="45" spans="1:8" x14ac:dyDescent="0.25">
      <c r="A45" s="41" t="s">
        <v>619</v>
      </c>
      <c r="B45" s="41">
        <v>4988</v>
      </c>
      <c r="C45" s="41" t="s">
        <v>587</v>
      </c>
      <c r="H45" s="45"/>
    </row>
    <row r="46" spans="1:8" x14ac:dyDescent="0.25">
      <c r="A46" s="41" t="s">
        <v>620</v>
      </c>
      <c r="B46" s="41">
        <v>476</v>
      </c>
      <c r="C46" s="41" t="s">
        <v>587</v>
      </c>
      <c r="H46" s="45"/>
    </row>
    <row r="47" spans="1:8" x14ac:dyDescent="0.25">
      <c r="A47" s="41" t="s">
        <v>32</v>
      </c>
      <c r="B47" s="41">
        <v>30</v>
      </c>
      <c r="C47" s="41" t="s">
        <v>587</v>
      </c>
      <c r="H47" s="45"/>
    </row>
    <row r="48" spans="1:8" x14ac:dyDescent="0.25">
      <c r="A48" s="41" t="s">
        <v>621</v>
      </c>
      <c r="B48" s="41">
        <v>1000001</v>
      </c>
      <c r="C48" s="41" t="s">
        <v>587</v>
      </c>
      <c r="H48" s="45"/>
    </row>
    <row r="49" spans="1:8" x14ac:dyDescent="0.25">
      <c r="A49" s="41" t="s">
        <v>622</v>
      </c>
      <c r="B49" s="41">
        <v>1001620</v>
      </c>
      <c r="C49" s="41" t="s">
        <v>587</v>
      </c>
      <c r="H49" s="45"/>
    </row>
    <row r="50" spans="1:8" x14ac:dyDescent="0.25">
      <c r="A50" s="41" t="s">
        <v>199</v>
      </c>
      <c r="B50" s="41">
        <v>8275</v>
      </c>
      <c r="C50" s="41" t="s">
        <v>587</v>
      </c>
      <c r="H50" s="45"/>
    </row>
    <row r="51" spans="1:8" x14ac:dyDescent="0.25">
      <c r="A51" s="41" t="s">
        <v>623</v>
      </c>
      <c r="B51" s="41">
        <v>1000000</v>
      </c>
      <c r="C51" s="41" t="s">
        <v>587</v>
      </c>
      <c r="H51" s="45"/>
    </row>
    <row r="52" spans="1:8" x14ac:dyDescent="0.25">
      <c r="A52" s="41" t="s">
        <v>624</v>
      </c>
      <c r="B52" s="41">
        <v>1000002</v>
      </c>
      <c r="C52" s="41" t="s">
        <v>587</v>
      </c>
      <c r="H52" s="45"/>
    </row>
    <row r="53" spans="1:8" x14ac:dyDescent="0.25">
      <c r="A53" s="41" t="s">
        <v>625</v>
      </c>
      <c r="B53" s="41">
        <v>1002080</v>
      </c>
      <c r="C53" s="41" t="s">
        <v>587</v>
      </c>
      <c r="H53" s="45"/>
    </row>
    <row r="54" spans="1:8" x14ac:dyDescent="0.25">
      <c r="A54" s="41" t="s">
        <v>626</v>
      </c>
      <c r="B54" s="41">
        <v>4051</v>
      </c>
      <c r="C54" s="41" t="s">
        <v>587</v>
      </c>
      <c r="H54" s="45"/>
    </row>
    <row r="55" spans="1:8" x14ac:dyDescent="0.25">
      <c r="A55" s="41" t="s">
        <v>627</v>
      </c>
      <c r="B55" s="41">
        <v>4431</v>
      </c>
      <c r="C55" s="41" t="s">
        <v>587</v>
      </c>
      <c r="H55" s="45"/>
    </row>
    <row r="56" spans="1:8" x14ac:dyDescent="0.25">
      <c r="A56" s="41" t="s">
        <v>237</v>
      </c>
      <c r="B56" s="41">
        <v>1165</v>
      </c>
      <c r="C56" s="41" t="s">
        <v>587</v>
      </c>
      <c r="H56" s="45"/>
    </row>
    <row r="57" spans="1:8" x14ac:dyDescent="0.25">
      <c r="A57" s="41" t="s">
        <v>628</v>
      </c>
      <c r="B57" s="41">
        <v>5235</v>
      </c>
      <c r="C57" s="41" t="s">
        <v>587</v>
      </c>
      <c r="H57" s="45"/>
    </row>
    <row r="58" spans="1:8" x14ac:dyDescent="0.25">
      <c r="A58" s="41" t="s">
        <v>629</v>
      </c>
      <c r="B58" s="41">
        <v>6849</v>
      </c>
      <c r="C58" s="41" t="s">
        <v>587</v>
      </c>
      <c r="H58" s="45"/>
    </row>
    <row r="59" spans="1:8" x14ac:dyDescent="0.25">
      <c r="A59" s="41" t="s">
        <v>630</v>
      </c>
      <c r="B59" s="41">
        <v>5374</v>
      </c>
      <c r="C59" s="41" t="s">
        <v>587</v>
      </c>
      <c r="H59" s="45"/>
    </row>
    <row r="60" spans="1:8" x14ac:dyDescent="0.25">
      <c r="A60" s="41" t="s">
        <v>631</v>
      </c>
      <c r="B60" s="41">
        <v>1726</v>
      </c>
      <c r="C60" s="41" t="s">
        <v>587</v>
      </c>
      <c r="H60" s="45"/>
    </row>
    <row r="61" spans="1:8" x14ac:dyDescent="0.25">
      <c r="A61" s="41" t="s">
        <v>632</v>
      </c>
      <c r="B61" s="41">
        <v>4119</v>
      </c>
      <c r="C61" s="41" t="s">
        <v>587</v>
      </c>
      <c r="H61" s="45"/>
    </row>
    <row r="62" spans="1:8" x14ac:dyDescent="0.25">
      <c r="A62" s="41" t="s">
        <v>633</v>
      </c>
      <c r="B62" s="41">
        <v>1000207</v>
      </c>
      <c r="C62" s="41" t="s">
        <v>587</v>
      </c>
      <c r="H62" s="45"/>
    </row>
    <row r="63" spans="1:8" x14ac:dyDescent="0.25">
      <c r="A63" s="41" t="s">
        <v>634</v>
      </c>
      <c r="B63" s="41">
        <v>1413</v>
      </c>
      <c r="C63" s="41" t="s">
        <v>587</v>
      </c>
      <c r="H63" s="45"/>
    </row>
    <row r="64" spans="1:8" x14ac:dyDescent="0.25">
      <c r="A64" s="41" t="s">
        <v>366</v>
      </c>
      <c r="B64" s="41">
        <v>13</v>
      </c>
      <c r="C64" s="41" t="s">
        <v>587</v>
      </c>
      <c r="H64" s="45"/>
    </row>
    <row r="65" spans="1:8" x14ac:dyDescent="0.25">
      <c r="A65" s="41" t="s">
        <v>348</v>
      </c>
      <c r="B65" s="41">
        <v>1</v>
      </c>
      <c r="C65" s="41" t="s">
        <v>587</v>
      </c>
      <c r="H65" s="45"/>
    </row>
    <row r="66" spans="1:8" x14ac:dyDescent="0.25">
      <c r="A66" s="41" t="s">
        <v>635</v>
      </c>
      <c r="B66" s="41">
        <v>4368</v>
      </c>
      <c r="C66" s="41" t="s">
        <v>587</v>
      </c>
      <c r="H66" s="45"/>
    </row>
    <row r="67" spans="1:8" x14ac:dyDescent="0.25">
      <c r="A67" s="41" t="s">
        <v>636</v>
      </c>
      <c r="B67" s="41">
        <v>1002140</v>
      </c>
      <c r="C67" s="41" t="s">
        <v>587</v>
      </c>
      <c r="H67" s="45"/>
    </row>
    <row r="68" spans="1:8" x14ac:dyDescent="0.25">
      <c r="A68" s="41" t="s">
        <v>637</v>
      </c>
      <c r="B68" s="41">
        <v>565</v>
      </c>
      <c r="C68" s="41" t="s">
        <v>587</v>
      </c>
      <c r="H68" s="45"/>
    </row>
    <row r="69" spans="1:8" x14ac:dyDescent="0.25">
      <c r="A69" s="41" t="s">
        <v>637</v>
      </c>
      <c r="B69" s="41">
        <v>1000847</v>
      </c>
      <c r="C69" s="41" t="s">
        <v>587</v>
      </c>
      <c r="H69" s="45"/>
    </row>
    <row r="70" spans="1:8" x14ac:dyDescent="0.25">
      <c r="A70" s="41" t="s">
        <v>638</v>
      </c>
      <c r="B70" s="41">
        <v>9223</v>
      </c>
      <c r="C70" s="41" t="s">
        <v>587</v>
      </c>
      <c r="H70" s="45"/>
    </row>
    <row r="71" spans="1:8" x14ac:dyDescent="0.25">
      <c r="A71" s="41" t="s">
        <v>639</v>
      </c>
      <c r="B71" s="41">
        <v>7461</v>
      </c>
      <c r="C71" s="41" t="s">
        <v>587</v>
      </c>
      <c r="H71" s="45"/>
    </row>
    <row r="72" spans="1:8" x14ac:dyDescent="0.25">
      <c r="A72" s="41" t="s">
        <v>640</v>
      </c>
      <c r="B72" s="41">
        <v>2338</v>
      </c>
      <c r="C72" s="41" t="s">
        <v>587</v>
      </c>
      <c r="H72" s="45"/>
    </row>
    <row r="73" spans="1:8" x14ac:dyDescent="0.25">
      <c r="A73" s="41" t="s">
        <v>297</v>
      </c>
      <c r="B73" s="41">
        <v>1122</v>
      </c>
      <c r="C73" s="41" t="s">
        <v>587</v>
      </c>
      <c r="H73" s="45"/>
    </row>
    <row r="74" spans="1:8" x14ac:dyDescent="0.25">
      <c r="A74" s="41" t="s">
        <v>297</v>
      </c>
      <c r="B74" s="41">
        <v>1001929</v>
      </c>
      <c r="C74" s="41" t="s">
        <v>587</v>
      </c>
      <c r="H74" s="45"/>
    </row>
    <row r="75" spans="1:8" x14ac:dyDescent="0.25">
      <c r="A75" s="41" t="s">
        <v>641</v>
      </c>
      <c r="B75" s="41">
        <v>1001891</v>
      </c>
      <c r="C75" s="41" t="s">
        <v>587</v>
      </c>
      <c r="H75" s="45"/>
    </row>
    <row r="76" spans="1:8" x14ac:dyDescent="0.25">
      <c r="A76" s="41" t="s">
        <v>642</v>
      </c>
      <c r="B76" s="41">
        <v>9332</v>
      </c>
      <c r="C76" s="41" t="s">
        <v>587</v>
      </c>
      <c r="H76" s="45"/>
    </row>
    <row r="77" spans="1:8" x14ac:dyDescent="0.25">
      <c r="A77" s="41" t="s">
        <v>643</v>
      </c>
      <c r="B77" s="41">
        <v>1001220</v>
      </c>
      <c r="C77" s="41" t="s">
        <v>587</v>
      </c>
      <c r="H77" s="45"/>
    </row>
    <row r="78" spans="1:8" x14ac:dyDescent="0.25">
      <c r="A78" s="41" t="s">
        <v>644</v>
      </c>
      <c r="B78" s="41">
        <v>915</v>
      </c>
      <c r="C78" s="41" t="s">
        <v>587</v>
      </c>
      <c r="H78" s="45"/>
    </row>
    <row r="79" spans="1:8" x14ac:dyDescent="0.25">
      <c r="A79" s="41" t="s">
        <v>645</v>
      </c>
      <c r="B79" s="41">
        <v>4462</v>
      </c>
      <c r="C79" s="41" t="s">
        <v>587</v>
      </c>
      <c r="H79" s="45"/>
    </row>
    <row r="80" spans="1:8" x14ac:dyDescent="0.25">
      <c r="A80" s="41" t="s">
        <v>646</v>
      </c>
      <c r="B80" s="41">
        <v>4272</v>
      </c>
      <c r="C80" s="41" t="s">
        <v>587</v>
      </c>
      <c r="H80" s="45"/>
    </row>
    <row r="81" spans="1:8" x14ac:dyDescent="0.25">
      <c r="A81" s="41" t="s">
        <v>646</v>
      </c>
      <c r="B81" s="41">
        <v>1000155</v>
      </c>
      <c r="C81" s="41" t="s">
        <v>587</v>
      </c>
      <c r="H81" s="45"/>
    </row>
    <row r="82" spans="1:8" x14ac:dyDescent="0.25">
      <c r="A82" s="41" t="s">
        <v>647</v>
      </c>
      <c r="B82" s="41">
        <v>9418</v>
      </c>
      <c r="C82" s="41" t="s">
        <v>587</v>
      </c>
      <c r="H82" s="45"/>
    </row>
    <row r="83" spans="1:8" x14ac:dyDescent="0.25">
      <c r="A83" s="41" t="s">
        <v>648</v>
      </c>
      <c r="B83" s="41">
        <v>1002100</v>
      </c>
      <c r="C83" s="41" t="s">
        <v>587</v>
      </c>
      <c r="H83" s="45"/>
    </row>
    <row r="84" spans="1:8" x14ac:dyDescent="0.25">
      <c r="A84" s="41" t="s">
        <v>649</v>
      </c>
      <c r="B84" s="41">
        <v>1114</v>
      </c>
      <c r="C84" s="41" t="s">
        <v>587</v>
      </c>
      <c r="H84" s="45"/>
    </row>
    <row r="85" spans="1:8" x14ac:dyDescent="0.25">
      <c r="A85" s="41" t="s">
        <v>649</v>
      </c>
      <c r="B85" s="41">
        <v>1000285</v>
      </c>
      <c r="C85" s="41" t="s">
        <v>587</v>
      </c>
      <c r="H85" s="45"/>
    </row>
    <row r="86" spans="1:8" x14ac:dyDescent="0.25">
      <c r="A86" s="41" t="s">
        <v>650</v>
      </c>
      <c r="B86" s="41">
        <v>1407</v>
      </c>
      <c r="C86" s="41" t="s">
        <v>587</v>
      </c>
      <c r="H86" s="45"/>
    </row>
    <row r="87" spans="1:8" x14ac:dyDescent="0.25">
      <c r="A87" s="41" t="s">
        <v>651</v>
      </c>
      <c r="B87" s="41">
        <v>4157</v>
      </c>
      <c r="C87" s="41" t="s">
        <v>587</v>
      </c>
      <c r="H87" s="45"/>
    </row>
    <row r="88" spans="1:8" x14ac:dyDescent="0.25">
      <c r="A88" s="41" t="s">
        <v>652</v>
      </c>
      <c r="B88" s="41">
        <v>7123</v>
      </c>
      <c r="C88" s="41" t="s">
        <v>587</v>
      </c>
      <c r="H88" s="45"/>
    </row>
    <row r="89" spans="1:8" x14ac:dyDescent="0.25">
      <c r="A89" s="41" t="s">
        <v>653</v>
      </c>
      <c r="B89" s="41">
        <v>1517</v>
      </c>
      <c r="C89" s="41" t="s">
        <v>587</v>
      </c>
      <c r="H89" s="45"/>
    </row>
    <row r="90" spans="1:8" x14ac:dyDescent="0.25">
      <c r="A90" s="41" t="s">
        <v>654</v>
      </c>
      <c r="B90" s="41">
        <v>9341</v>
      </c>
      <c r="C90" s="41" t="s">
        <v>587</v>
      </c>
      <c r="H90" s="45"/>
    </row>
    <row r="91" spans="1:8" x14ac:dyDescent="0.25">
      <c r="A91" s="41" t="s">
        <v>655</v>
      </c>
      <c r="B91" s="41">
        <v>1002120</v>
      </c>
      <c r="C91" s="41" t="s">
        <v>587</v>
      </c>
      <c r="H91" s="45"/>
    </row>
    <row r="92" spans="1:8" x14ac:dyDescent="0.25">
      <c r="A92" s="41" t="s">
        <v>656</v>
      </c>
      <c r="B92" s="41">
        <v>9280</v>
      </c>
      <c r="C92" s="41" t="s">
        <v>587</v>
      </c>
      <c r="H92" s="45"/>
    </row>
    <row r="93" spans="1:8" x14ac:dyDescent="0.25">
      <c r="A93" s="41" t="s">
        <v>657</v>
      </c>
      <c r="B93" s="41">
        <v>6832</v>
      </c>
      <c r="C93" s="41" t="s">
        <v>587</v>
      </c>
      <c r="H93" s="45"/>
    </row>
    <row r="94" spans="1:8" x14ac:dyDescent="0.25">
      <c r="A94" s="41" t="s">
        <v>658</v>
      </c>
      <c r="B94" s="41">
        <v>9244</v>
      </c>
      <c r="C94" s="41" t="s">
        <v>587</v>
      </c>
      <c r="H94" s="45"/>
    </row>
    <row r="95" spans="1:8" x14ac:dyDescent="0.25">
      <c r="A95" s="7" t="s">
        <v>659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Planilha4</vt:lpstr>
      <vt:lpstr>Ingresso</vt:lpstr>
      <vt:lpstr>FALECIDO</vt:lpstr>
      <vt:lpstr>DESLIGADO</vt:lpstr>
      <vt:lpstr>especialidade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Weridiana Almeida Araújo</dc:creator>
  <cp:lastModifiedBy>Daniel de Oliveira Gomes</cp:lastModifiedBy>
  <dcterms:created xsi:type="dcterms:W3CDTF">2024-11-25T16:24:21Z</dcterms:created>
  <dcterms:modified xsi:type="dcterms:W3CDTF">2024-11-28T14:00:00Z</dcterms:modified>
</cp:coreProperties>
</file>